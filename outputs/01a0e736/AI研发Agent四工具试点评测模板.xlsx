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8c3a922a3c48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对比总览" sheetId="1" r:id="Rb9ab3ba9e58a486a"/>
    <x:sheet xmlns:r="http://schemas.openxmlformats.org/officeDocument/2006/relationships" name="试点设置" sheetId="2" r:id="R676400474ce04d17"/>
    <x:sheet xmlns:r="http://schemas.openxmlformats.org/officeDocument/2006/relationships" name="配对比较" sheetId="3" r:id="Rdf5424bd038841aa"/>
    <x:sheet xmlns:r="http://schemas.openxmlformats.org/officeDocument/2006/relationships" name="运行记录" sheetId="4" r:id="R64e91ba1a6a04b71"/>
    <x:sheet xmlns:r="http://schemas.openxmlformats.org/officeDocument/2006/relationships" name="能力评分" sheetId="5" r:id="R85a024258f514fa7"/>
    <x:sheet xmlns:r="http://schemas.openxmlformats.org/officeDocument/2006/relationships" name="特性清单" sheetId="6" r:id="R2ab6d4f0907f4934"/>
    <x:sheet xmlns:r="http://schemas.openxmlformats.org/officeDocument/2006/relationships" name="过程与问题" sheetId="7" r:id="R01c0bd589d454cfa"/>
    <x:sheet xmlns:r="http://schemas.openxmlformats.org/officeDocument/2006/relationships" name="评分与指南" sheetId="8" r:id="R0e76f8c7884e4976"/>
    <x:sheet xmlns:r="http://schemas.openxmlformats.org/officeDocument/2006/relationships" name="交付对比" sheetId="9" r:id="R019237128d1849d9"/>
    <x:sheet xmlns:r="http://schemas.openxmlformats.org/officeDocument/2006/relationships" name="价值体验反馈" sheetId="10" r:id="Rc065acbcd7e54f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0%"/>
    <x:numFmt numFmtId="202" formatCode="0.0"/>
    <x:numFmt numFmtId="203" formatCode="0"/>
    <x:numFmt numFmtId="204" formatCode="yyyy-mm-dd hh:mm"/>
    <x:numFmt numFmtId="205" formatCode="0.0%"/>
    <x:numFmt numFmtId="206" formatCode="0.00"/>
  </x:numFmts>
  <x:fonts count="8">
    <x:font>
      <x:sz val="11"/>
      <x:name val="Carlito"/>
    </x:font>
    <x:font>
      <x:sz val="10"/>
      <x:color rgb="FF243447"/>
      <x:name val="Noto Sans CJK SC"/>
    </x:font>
    <x:font>
      <x:b/>
      <x:sz val="16"/>
      <x:color rgb="FF253B53"/>
      <x:name val="Noto Sans CJK SC"/>
    </x:font>
    <x:font>
      <x:sz val="10"/>
      <x:color rgb="FF627381"/>
      <x:name val="Noto Sans CJK SC"/>
    </x:font>
    <x:font>
      <x:b/>
      <x:sz val="10"/>
      <x:color rgb="FFFFFFFF"/>
      <x:name val="Noto Sans CJK SC"/>
    </x:font>
    <x:font>
      <x:b/>
      <x:sz val="10"/>
      <x:color rgb="FF243447"/>
      <x:name val="Noto Sans CJK SC"/>
    </x:font>
    <x:font>
      <x:b/>
      <x:sz val="10"/>
      <x:color rgb="FF1D5B9A"/>
      <x:name val="Noto Sans CJK SC"/>
    </x:font>
    <x:font>
      <x:b/>
      <x:sz val="14"/>
      <x:color rgb="FF243447"/>
      <x:name val="Noto Sans CJK SC"/>
    </x:font>
  </x:fonts>
  <x:fills count="8">
    <x:fill>
      <x:patternFill patternType="none"/>
    </x:fill>
    <x:fill>
      <x:patternFill patternType="gray125"/>
    </x:fill>
    <x:fill>
      <x:patternFill patternType="solid">
        <x:fgColor rgb="FFFFF4D6"/>
      </x:patternFill>
    </x:fill>
    <x:fill>
      <x:patternFill patternType="solid">
        <x:fgColor rgb="FFEDF2F6"/>
      </x:patternFill>
    </x:fill>
    <x:fill>
      <x:patternFill patternType="solid">
        <x:fgColor rgb="FF253B53"/>
      </x:patternFill>
    </x:fill>
    <x:fill>
      <x:patternFill patternType="solid">
        <x:fgColor rgb="FF253B53"/>
      </x:patternFill>
    </x:fill>
    <x:fill>
      <x:patternFill patternType="solid">
        <x:fgColor rgb="FFFFF4D6"/>
      </x:patternFill>
    </x:fill>
    <x:fill>
      <x:patternFill patternType="solid">
        <x:fgColor rgb="FFEDF2F6"/>
      </x:patternFill>
    </x:fill>
  </x:fills>
  <x:borders count="11">
    <x:border/>
    <x:border>
      <x:bottom style="thin">
        <x:color rgb="FF416781"/>
      </x:bottom>
    </x:border>
    <x:border>
      <x:bottom style="thin">
        <x:color rgb="FFE9DFC8"/>
      </x:bottom>
    </x:border>
    <x:border>
      <x:top style="thin">
        <x:color rgb="FFE9DFC8"/>
      </x:top>
      <x:bottom style="thin">
        <x:color rgb="FFE9DFC8"/>
      </x:bottom>
    </x:border>
    <x:border>
      <x:top style="thin">
        <x:color rgb="FFE9DFC8"/>
      </x:top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6DEE5"/>
      </x:bottom>
    </x:border>
    <x:border>
      <x:top style="thin">
        <x:color rgb="FFD6DEE5"/>
      </x:top>
      <x:bottom style="thin">
        <x:color rgb="FFD6DEE5"/>
      </x:bottom>
    </x:border>
    <x:border>
      <x:top style="thin">
        <x:color rgb="FFD6DEE5"/>
      </x:top>
    </x:border>
  </x:borders>
  <x:cellStyleXfs count="1">
    <x:xf numFmtId="0" fontId="0" fillId="0" borderId="0"/>
  </x:cellStyleXfs>
  <x:cellXfs count="9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0" fontId="1" fillId="2" borderId="3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5" xfId="0" applyNumberFormat="1" applyFont="1" applyFill="1" applyBorder="1" applyAlignment="1">
      <x:alignment vertical="center"/>
    </x:xf>
    <x:xf numFmtId="0" fontId="4" fillId="4" borderId="6" xfId="0" applyNumberFormat="1" applyFont="1" applyFill="1" applyBorder="1" applyAlignment="1">
      <x:alignment vertical="center"/>
    </x:xf>
    <x:xf numFmtId="0" fontId="4" fillId="4" borderId="7" xfId="0" applyNumberFormat="1" applyFont="1" applyFill="1" applyBorder="1" applyAlignment="1">
      <x:alignment vertical="center"/>
    </x:xf>
    <x:xf numFmtId="0" fontId="4" fillId="4" borderId="5" xfId="0" applyNumberFormat="1" applyFont="1" applyFill="1" applyBorder="1" applyAlignment="1">
      <x:alignment vertical="center" wrapText="1"/>
    </x:xf>
    <x:xf numFmtId="0" fontId="4" fillId="4" borderId="6" xfId="0" applyNumberFormat="1" applyFont="1" applyFill="1" applyBorder="1" applyAlignment="1">
      <x:alignment vertical="center" wrapText="1"/>
    </x:xf>
    <x:xf numFmtId="0" fontId="4" fillId="4" borderId="7" xfId="0" applyNumberFormat="1" applyFont="1" applyFill="1" applyBorder="1" applyAlignment="1">
      <x:alignment vertical="center" wrapText="1"/>
    </x:xf>
    <x:xf numFmtId="0" fontId="4" fillId="4" borderId="5" xfId="0" applyNumberFormat="1" applyFont="1" applyFill="1" applyBorder="1" applyAlignment="1">
      <x:alignment horizontal="center" vertical="center" wrapText="1"/>
    </x:xf>
    <x:xf numFmtId="0" fontId="4" fillId="4" borderId="6" xfId="0" applyNumberFormat="1" applyFont="1" applyFill="1" applyBorder="1" applyAlignment="1">
      <x:alignment horizontal="center" vertical="center" wrapText="1"/>
    </x:xf>
    <x:xf numFmtId="0" fontId="4" fillId="4" borderId="7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1" fillId="2" borderId="4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3" fontId="1" fillId="2" borderId="2" xfId="0" applyNumberFormat="1" applyFont="1" applyFill="1" applyBorder="1" applyAlignment="1">
      <x:alignment vertical="center" wrapText="1"/>
    </x:xf>
    <x:xf numFmtId="203" fontId="1" fillId="2" borderId="3" xfId="0" applyNumberFormat="1" applyFont="1" applyFill="1" applyBorder="1" applyAlignment="1">
      <x:alignment vertical="center" wrapText="1"/>
    </x:xf>
    <x:xf numFmtId="203" fontId="1" fillId="2" borderId="4" xfId="0" applyNumberFormat="1" applyFont="1" applyFill="1" applyBorder="1" applyAlignment="1">
      <x:alignment vertical="center" wrapText="1"/>
    </x:xf>
    <x:xf numFmtId="202" fontId="1" fillId="2" borderId="2" xfId="0" applyNumberFormat="1" applyFont="1" applyFill="1" applyBorder="1" applyAlignment="1">
      <x:alignment vertical="center" wrapText="1"/>
    </x:xf>
    <x:xf numFmtId="202" fontId="1" fillId="2" borderId="3" xfId="0" applyNumberFormat="1" applyFont="1" applyFill="1" applyBorder="1" applyAlignment="1">
      <x:alignment vertical="center" wrapText="1"/>
    </x:xf>
    <x:xf numFmtId="202" fontId="1" fillId="2" borderId="4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2" fontId="1" fillId="2" borderId="2" xfId="0" applyNumberFormat="1" applyFont="1" applyFill="1" applyBorder="1" applyAlignment="1">
      <x:alignment vertical="center"/>
    </x:xf>
    <x:xf numFmtId="202" fontId="1" fillId="2" borderId="3" xfId="0" applyNumberFormat="1" applyFont="1" applyFill="1" applyBorder="1" applyAlignment="1">
      <x:alignment vertical="center"/>
    </x:xf>
    <x:xf numFmtId="202" fontId="1" fillId="2" borderId="4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5" fontId="1" fillId="3" borderId="0" xfId="0" applyNumberFormat="1" applyFont="1" applyFill="1" applyBorder="1" applyAlignment="1">
      <x:alignment vertical="center"/>
    </x:xf>
    <x:xf numFmtId="206" fontId="1" fillId="2" borderId="2" xfId="0" applyNumberFormat="1" applyFont="1" applyFill="1" applyBorder="1" applyAlignment="1">
      <x:alignment vertical="center"/>
    </x:xf>
    <x:xf numFmtId="206" fontId="1" fillId="2" borderId="3" xfId="0" applyNumberFormat="1" applyFont="1" applyFill="1" applyBorder="1" applyAlignment="1">
      <x:alignment vertical="center"/>
    </x:xf>
    <x:xf numFmtId="206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right" vertical="center"/>
    </x:xf>
    <x:xf numFmtId="205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6" fontId="1" fillId="0" borderId="0" xfId="0" applyNumberFormat="1" applyFont="1" applyFill="1" applyBorder="1" applyAlignment="1">
      <x:alignment horizontal="right" vertical="center"/>
    </x:xf>
    <x:xf numFmtId="206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0"/>
    </x:xf>
    <x:xf numFmtId="0" fontId="1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4" fillId="5" borderId="7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4" fillId="5" borderId="7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4" fillId="5" borderId="6" xfId="0" applyNumberFormat="1" applyFont="1" applyFill="1" applyBorder="1" applyAlignment="1">
      <x:alignment horizontal="center" vertical="center" wrapText="1"/>
    </x:xf>
    <x:xf numFmtId="0" fontId="4" fillId="5" borderId="7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1" fillId="6" xfId="0" applyNumberFormat="1" applyFont="1" applyFill="1" applyBorder="0" applyAlignment="1">
      <x:alignment vertical="center"/>
    </x:xf>
    <x:xf numFmtId="0" fontId="1" fillId="6" xfId="0" applyNumberFormat="1" applyFont="1" applyFill="1" applyBorder="0" applyAlignment="1">
      <x:alignment vertical="center" wrapText="1"/>
    </x:xf>
    <x:xf numFmtId="0" fontId="1" fillId="6" borderId="2" xfId="0" applyNumberFormat="1" applyFont="1" applyFill="1" applyBorder="1" applyAlignment="1">
      <x:alignment vertical="center"/>
    </x:xf>
    <x:xf numFmtId="0" fontId="1" fillId="6" borderId="3" xfId="0" applyNumberFormat="1" applyFont="1" applyFill="1" applyBorder="1" applyAlignment="1">
      <x:alignment vertical="center"/>
    </x:xf>
    <x:xf numFmtId="0" fontId="1" fillId="6" borderId="4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0" fontId="1" fillId="6" borderId="2" xfId="0" applyNumberFormat="1" applyFont="1" applyFill="1" applyBorder="1" applyAlignment="1">
      <x:alignment vertical="center" wrapText="1"/>
    </x:xf>
    <x:xf numFmtId="0" fontId="1" fillId="6" borderId="3" xfId="0" applyNumberFormat="1" applyFont="1" applyFill="1" applyBorder="1" applyAlignment="1">
      <x:alignment vertical="center" wrapText="1"/>
    </x:xf>
    <x:xf numFmtId="0" fontId="1" fillId="6" borderId="4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1" fillId="0" borderId="10" xfId="0" applyNumberFormat="1" applyFont="1" applyFill="1" applyBorder="1" applyAlignment="1">
      <x:alignment vertical="center"/>
    </x:xf>
  </x:cellXfs>
  <x:cellStyles count="1">
    <x:cellStyle name="Normal" xfId="0"/>
  </x:cellStyles>
  <x:dxfs count="12">
    <x:dxf>
      <x:font>
        <x:b/>
        <x:color rgb="FFA52A2A"/>
      </x:font>
      <x:fill>
        <x:patternFill>
          <x:bgColor rgb="FFFBE5E5"/>
        </x:patternFill>
      </x:fill>
    </x:dxf>
    <x:dxf>
      <x:font>
        <x:b/>
        <x:color rgb="FFA52A2A"/>
      </x:font>
      <x:fill>
        <x:patternFill>
          <x:bgColor rgb="FFFBE5E5"/>
        </x:patternFill>
      </x:fill>
    </x:dxf>
    <x:dxf>
      <x:font>
        <x:b/>
        <x:color rgb="FFA52A2A"/>
      </x:font>
      <x:fill>
        <x:patternFill>
          <x:bgColor rgb="FFFBE5E5"/>
        </x:patternFill>
      </x:fill>
    </x:dxf>
    <x:dxf>
      <x:font>
        <x:b/>
        <x:color rgb="FFA52A2A"/>
      </x:font>
      <x:fill>
        <x:patternFill>
          <x:bgColor rgb="FFFBE5E5"/>
        </x:patternFill>
      </x:fill>
    </x:dxf>
    <x:dxf>
      <x:fill>
        <x:patternFill>
          <x:bgColor rgb="FFF7E5D7"/>
        </x:patternFill>
      </x:fill>
    </x:dxf>
    <x:dxf>
      <x:fill>
        <x:patternFill>
          <x:bgColor rgb="FFF1F4F7"/>
        </x:patternFill>
      </x:fill>
    </x:dxf>
    <x:dxf>
      <x:fill>
        <x:patternFill>
          <x:bgColor rgb="FFA9C9D9"/>
        </x:patternFill>
      </x:fill>
    </x:dxf>
    <x:dxf>
      <x:fill>
        <x:patternFill patternType="solid">
          <x:bgColor rgb="FFF7E5D7"/>
        </x:patternFill>
      </x:fill>
    </x:dxf>
    <x:dxf>
      <x:fill>
        <x:patternFill patternType="solid">
          <x:bgColor rgb="FFF1F4F7"/>
        </x:patternFill>
      </x:fill>
    </x:dxf>
    <x:dxf>
      <x:fill>
        <x:patternFill patternType="solid">
          <x:bgColor rgb="FFA9C9D9"/>
        </x:patternFill>
      </x:fill>
    </x:dxf>
    <x:dxf>
      <x:font>
        <x:b/>
        <x:color rgb="FFA52A2A"/>
      </x:font>
      <x:fill>
        <x:patternFill patternType="solid">
          <x:bgColor rgb="FFFBE5E5"/>
        </x:patternFill>
      </x:fill>
    </x:dxf>
    <x:dxf>
      <x:font>
        <x:color rgb="FFA52A2A"/>
      </x:font>
      <x:fill>
        <x:patternFill patternType="solid">
          <x:bgColor rgb="FFFB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d78a4e08df4b3f" /><Relationship Type="http://schemas.openxmlformats.org/officeDocument/2006/relationships/theme" Target="/xl/theme/theme1.xml" Id="R8b3832bcd17f48bf" /><Relationship Type="http://schemas.openxmlformats.org/officeDocument/2006/relationships/sharedStrings" Target="/xl/sharedStrings.xml" Id="R484d814f43d34bee" /><Relationship Type="http://schemas.openxmlformats.org/officeDocument/2006/relationships/worksheet" Target="/xl/worksheets/sheet1.xml" Id="Rb9ab3ba9e58a486a" /><Relationship Type="http://schemas.openxmlformats.org/officeDocument/2006/relationships/worksheet" Target="/xl/worksheets/sheet2.xml" Id="R676400474ce04d17" /><Relationship Type="http://schemas.openxmlformats.org/officeDocument/2006/relationships/worksheet" Target="/xl/worksheets/sheet3.xml" Id="Rdf5424bd038841aa" /><Relationship Type="http://schemas.openxmlformats.org/officeDocument/2006/relationships/worksheet" Target="/xl/worksheets/sheet4.xml" Id="R64e91ba1a6a04b71" /><Relationship Type="http://schemas.openxmlformats.org/officeDocument/2006/relationships/worksheet" Target="/xl/worksheets/sheet5.xml" Id="R85a024258f514fa7" /><Relationship Type="http://schemas.openxmlformats.org/officeDocument/2006/relationships/worksheet" Target="/xl/worksheets/sheet6.xml" Id="R2ab6d4f0907f4934" /><Relationship Type="http://schemas.openxmlformats.org/officeDocument/2006/relationships/worksheet" Target="/xl/worksheets/sheet7.xml" Id="R01c0bd589d454cfa" /><Relationship Type="http://schemas.openxmlformats.org/officeDocument/2006/relationships/worksheet" Target="/xl/worksheets/sheet8.xml" Id="R0e76f8c7884e4976" /><Relationship Type="http://schemas.openxmlformats.org/officeDocument/2006/relationships/worksheet" Target="/xl/worksheets/sheet9.xml" Id="R019237128d1849d9" /><Relationship Type="http://schemas.openxmlformats.org/officeDocument/2006/relationships/worksheet" Target="/xl/worksheets/sheet10.xml" Id="Rc065acbcd7e54f06" /></Relationships>
</file>

<file path=xl/tables/table1.xml><?xml version="1.0" encoding="utf-8"?>
<x:table xmlns:x="http://schemas.openxmlformats.org/spreadsheetml/2006/main" id="4" name="PairedComparison" displayName="PairedComparison" ref="A6:R42" headerRowCount="1" totalsRowCount="0" totalsRowShown="0">
  <x:autoFilter ref="A6:R42"/>
  <x:tableColumns count="18">
    <x:tableColumn id="1" name="配对ID"/>
    <x:tableColumn id="2" name="特性ID"/>
    <x:tableColumn id="3" name="轮次"/>
    <x:tableColumn id="4" name="特性名称"/>
    <x:tableColumn id="5" name="计划内 0/1"/>
    <x:tableColumn id="6" name="Claude Code 纳入数"/>
    <x:tableColumn id="7" name="Codex 纳入数"/>
    <x:tableColumn id="8" name="Trae 纳入数"/>
    <x:tableColumn id="9" name="CodeArts 纳入数"/>
    <x:tableColumn id="10" name="客观齐备 0/1"/>
    <x:tableColumn id="11" name="评分齐备 0/1"/>
    <x:tableColumn id="12" name="费用齐备 0/1"/>
    <x:tableColumn id="13" name="Claude Code 体验分"/>
    <x:tableColumn id="14" name="Codex 体验分"/>
    <x:tableColumn id="15" name="Trae 体验分"/>
    <x:tableColumn id="16" name="CodeArts 体验分"/>
    <x:tableColumn id="17" name="最高最低差（分）"/>
    <x:tableColumn id="18" name="当前缺项"/>
  </x:tableColumns>
  <x:tableStyleInfo name="TableStyleLight9" showFirstColumn="0" showLastColumn="0" showRowStripes="0" showColumnStripes="0"/>
</x:table>
</file>

<file path=xl/tables/table2.xml><?xml version="1.0" encoding="utf-8"?>
<x:table xmlns:x="http://schemas.openxmlformats.org/spreadsheetml/2006/main" id="2" name="RunRecords" displayName="RunRecords" ref="A6:AK150" headerRowCount="1" totalsRowCount="0" totalsRowShown="0">
  <x:autoFilter ref="A6:AK150"/>
  <x:tableColumns count="37">
    <x:tableColumn id="1" name="运行ID"/>
    <x:tableColumn id="2" name="配对ID"/>
    <x:tableColumn id="3" name="特性ID"/>
    <x:tableColumn id="4" name="轮次"/>
    <x:tableColumn id="5" name="工具"/>
    <x:tableColumn id="6" name="操作者"/>
    <x:tableColumn id="7" name="实际顺序 1–4"/>
    <x:tableColumn id="8" name="开始时间"/>
    <x:tableColumn id="9" name="结束时间"/>
    <x:tableColumn id="10" name="外部暂停（分钟）"/>
    <x:tableColumn id="11" name="人工投入（分钟）"/>
    <x:tableColumn id="12" name="其中人工改码（分钟）"/>
    <x:tableColumn id="13" name="有效人工干预（次）"/>
    <x:tableColumn id="14" name="提示往返（轮）"/>
    <x:tableColumn id="15" name="终态"/>
    <x:tableColumn id="16" name="AI 原始通过数"/>
    <x:tableColumn id="17" name="最终通过数"/>
    <x:tableColumn id="18" name="新增严重缺陷（个）"/>
    <x:tableColumn id="19" name="回归结果"/>
    <x:tableColumn id="20" name="代码审查结果"/>
    <x:tableColumn id="21" name="工具费用（元）"/>
    <x:tableColumn id="22" name="条件一致性"/>
    <x:tableColumn id="23" name="偏差 / 失败 / 暂停说明"/>
    <x:tableColumn id="24" name="证据包链接"/>
    <x:tableColumn id="25" name="复核人"/>
    <x:tableColumn id="26" name="验收用例总数"/>
    <x:tableColumn id="27" name="净耗时（分钟）"/>
    <x:tableColumn id="28" name="AI 原始通过率"/>
    <x:tableColumn id="29" name="最终通过率"/>
    <x:tableColumn id="30" name="达标交付 0/1"/>
    <x:tableColumn id="31" name="记录状态"/>
    <x:tableColumn id="32" name="客观配对 0/1"/>
    <x:tableColumn id="33" name="费用配对 0/1"/>
    <x:tableColumn id="34" name="限时（分钟）"/>
    <x:tableColumn id="35" name="操作者工具熟练度"/>
    <x:tableColumn id="36" name="费用已记录 0/1"/>
    <x:tableColumn id="37" name="超时或超预算 0/1"/>
  </x:tableColumns>
  <x:tableStyleInfo name="TableStyleLight9" showFirstColumn="0" showLastColumn="0" showRowStripes="0" showColumnStripes="0"/>
</x:table>
</file>

<file path=xl/tables/table3.xml><?xml version="1.0" encoding="utf-8"?>
<x:table xmlns:x="http://schemas.openxmlformats.org/spreadsheetml/2006/main" id="3" name="AbilityScores" displayName="AbilityScores" ref="A6:Q150" headerRowCount="1" totalsRowCount="0" totalsRowShown="0">
  <x:autoFilter ref="A6:Q150"/>
  <x:tableColumns count="17">
    <x:tableColumn id="1" name="运行ID"/>
    <x:tableColumn id="2" name="配对ID"/>
    <x:tableColumn id="3" name="特性ID"/>
    <x:tableColumn id="4" name="工具"/>
    <x:tableColumn id="5" name="评分人"/>
    <x:tableColumn id="6" name="需求理解"/>
    <x:tableColumn id="7" name="仓库上下文"/>
    <x:tableColumn id="8" name="方案与实现"/>
    <x:tableColumn id="9" name="代码可维护性"/>
    <x:tableColumn id="10" name="测试与修复"/>
    <x:tableColumn id="11" name="自主执行"/>
    <x:tableColumn id="12" name="交互可控性"/>
    <x:tableColumn id="13" name="工程融入"/>
    <x:tableColumn id="14" name="能力体验分 /100"/>
    <x:tableColumn id="15" name="评分状态"/>
    <x:tableColumn id="16" name="逐维评分理由 / 证据索引链接"/>
    <x:tableColumn id="17" name="评分配对 0/1"/>
  </x:tableColumns>
  <x:tableStyleInfo name="TableStyleLight9" showFirstColumn="0" showLastColumn="0" showRowStripes="0" showColumnStripes="0"/>
</x:table>
</file>

<file path=xl/tables/table4.xml><?xml version="1.0" encoding="utf-8"?>
<x:table xmlns:x="http://schemas.openxmlformats.org/spreadsheetml/2006/main" id="1" name="FeatureList" displayName="FeatureList" ref="A6:P18" headerRowCount="1" totalsRowCount="0" totalsRowShown="0">
  <x:autoFilter ref="A6:P18"/>
  <x:tableColumns count="16">
    <x:tableColumn id="1" name="特性ID"/>
    <x:tableColumn id="2" name="特性名称"/>
    <x:tableColumn id="3" name="业务目标与范围"/>
    <x:tableColumn id="4" name="复杂度"/>
    <x:tableColumn id="5" name="代码范围 / 技术栈"/>
    <x:tableColumn id="6" name="需求与初始提示词链接"/>
    <x:tableColumn id="7" name="验收集 / 测试数据链接"/>
    <x:tableColumn id="8" name="验收用例总数"/>
    <x:tableColumn id="9" name="回归、代码审查及质量门槛"/>
    <x:tableColumn id="10" name="统一限时（分钟）"/>
    <x:tableColumn id="11" name="计划轮次"/>
    <x:tableColumn id="12" name="人工基线（分钟，可选）"/>
    <x:tableColumn id="13" name="基线证据 / 人员 / 条件"/>
    <x:tableColumn id="14" name="排除范围与特殊条件"/>
    <x:tableColumn id="15" name="特性负责人"/>
    <x:tableColumn id="16" name="配置状态"/>
  </x:tableColumns>
  <x:tableStyleInfo name="TableStyleLight9" showFirstColumn="0" showLastColumn="0" showRowStripes="0" showColumnStripes="0"/>
</x:table>
</file>

<file path=xl/tables/table5.xml><?xml version="1.0" encoding="utf-8"?>
<x:table xmlns:x="http://schemas.openxmlformats.org/spreadsheetml/2006/main" id="5" name="EvidenceLog" displayName="EvidenceLog" ref="A6:M156" headerRowCount="1" totalsRowCount="0" totalsRowShown="0">
  <x:autoFilter ref="A6:M156"/>
  <x:tableColumns count="13">
    <x:tableColumn id="1" name="事件ID"/>
    <x:tableColumn id="2" name="运行ID"/>
    <x:tableColumn id="3" name="发生时间"/>
    <x:tableColumn id="4" name="阶段"/>
    <x:tableColumn id="5" name="事件类型"/>
    <x:tableColumn id="6" name="观察事实 / 原话摘要"/>
    <x:tableColumn id="7" name="人工操作与投入分钟"/>
    <x:tableColumn id="8" name="交付或体验影响"/>
    <x:tableColumn id="9" name="原因假设（待验证）"/>
    <x:tableColumn id="10" name="会话 / 测试 / 提交证据"/>
    <x:tableColumn id="11" name="责任人"/>
    <x:tableColumn id="12" name="改进动作与复验条件"/>
    <x:tableColumn id="13" name="跟进状态"/>
  </x:tableColumns>
  <x:tableStyleInfo name="TableStyleLight9" showFirstColumn="0" showLastColumn="0" showRowStripes="0" showColumnStripes="0"/>
</x:table>
</file>

<file path=xl/tables/table6.xml><?xml version="1.0" encoding="utf-8"?>
<x:table xmlns:x="http://schemas.openxmlformats.org/spreadsheetml/2006/main" id="6" name="ValueFeedback" displayName="ValueFeedback" ref="A6:T150" headerRowCount="1" totalsRowCount="0" totalsRowShown="0">
  <x:autoFilter ref="A6:T150"/>
  <x:tableColumns count="20">
    <x:tableColumn id="1" name="反馈ID"/>
    <x:tableColumn id="2" name="关联运行ID"/>
    <x:tableColumn id="3" name="工具（自动）"/>
    <x:tableColumn id="4" name="业务特性（自动）"/>
    <x:tableColumn id="5" name="反馈人"/>
    <x:tableColumn id="6" name="工具价值特性 / 痛点类别"/>
    <x:tableColumn id="7" name="原来怎么做 / 卡在哪里"/>
    <x:tableColumn id="8" name="Agent 具体做了什么"/>
    <x:tableColumn id="9" name="实际带来的价值 / 损失"/>
    <x:tableColumn id="10" name="价值程度"/>
    <x:tableColumn id="11" name="体验变化"/>
    <x:tableColumn id="12" name="印象最深的一幕 / 原话"/>
    <x:tableColumn id="13" name="后续使用意愿"/>
    <x:tableColumn id="14" name="最想保留 / 改进什么（选填）"/>
    <x:tableColumn id="15" name="会话 / 提交 / 测试证据链接"/>
    <x:tableColumn id="16" name="记录状态（自动）"/>
    <x:tableColumn id="17" name="已附证据 0/1"/>
    <x:tableColumn id="18" name="复核结论（负责人填）"/>
    <x:tableColumn id="19" name="复核人"/>
    <x:tableColumn id="20" name="已复核 0/1"/>
  </x:tableColumns>
  <x:tableStyleInfo name="TableStyleLight9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334b84eef3a24e6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2ce7e0cdcccd4f3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df8d7f7d263947b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0f21038ecc24f1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a142a6159bbc4fb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f5d7095e0a544db3" /></Relationships>
</file>

<file path=xl/worksheets/sheet1.xml><?xml version="1.0" encoding="utf-8"?>
<x:worksheet xmlns:x="http://schemas.openxmlformats.org/spreadsheetml/2006/main">
  <x:sheetPr>
    <x:tabColor rgb="FF253B53"/>
  </x:sheetPr>
  <x:sheetViews>
    <x:sheetView showGridLines="0" workbookViewId="0"/>
  </x:sheetViews>
  <x:sheetFormatPr defaultRowHeight="15"/>
  <x:cols>
    <x:col min="1" max="1" width="35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4" hidden="0" customWidth="1"/>
    <x:col min="7" max="7" width="57" hidden="0" customWidth="1"/>
    <x:col min="8" max="8" width="16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</x:row>
    <x:row r="2" ht="34" customHeight="1">
      <x:c r="A2" s="4" t="str">
        <x:v>价值特性与明显体验</x:v>
      </x:c>
      <x:c r="B2" s="5"/>
      <x:c r="C2" s="5"/>
      <x:c r="D2" s="5"/>
      <x:c r="E2" s="5"/>
      <x:c r="F2" s="5"/>
      <x:c r="G2" s="5"/>
      <x:c r="H2" s="5"/>
    </x:row>
    <x:row r="3" ht="25" customHeight="1">
      <x:c r="A3" s="6" t="str">
        <x:v>反馈要说清：在哪个业务特性中，哪项工具能力改变了什么，以及最明显的好体验或坏体验。</x:v>
      </x:c>
      <x:c r="B3" s="2"/>
      <x:c r="C3" s="2"/>
      <x:c r="D3" s="2"/>
      <x:c r="E3" s="2"/>
      <x:c r="F3" s="2"/>
      <x:c r="G3" s="2"/>
      <x:c r="H3" s="2"/>
    </x:row>
    <x:row r="4" ht="25" customHeight="1">
      <x:c r="A4" s="93" t="str">
        <x:v>① 填写：价值体验反馈</x:v>
      </x:c>
      <x:c r="B4" s="2"/>
      <x:c r="C4" s="93" t="str">
        <x:v>② 查看：交付对比</x:v>
      </x:c>
      <x:c r="D4" s="2"/>
      <x:c r="E4" s="2"/>
      <x:c r="F4" s="2"/>
      <x:c r="G4" s="2" t="str">
        <x:f>"待补齐或纠错的反馈："&amp;COUNTIFS('价值体验反馈'!$P$7:$P$150,"&lt;&gt;待反馈",'价值体验反馈'!$P$7:$P$150,"&lt;&gt;已反馈",'价值体验反馈'!$P$7:$P$150,"&lt;&gt;未体验")&amp;" 条"</x:f>
        <x:v>待补齐或纠错的反馈：0 条</x:v>
      </x:c>
      <x:c r="H4" s="2"/>
    </x:row>
    <x:row r="5" ht="25" customHeight="1">
      <x:c r="A5" s="2"/>
      <x:c r="B5" s="2"/>
      <x:c r="C5" s="2"/>
      <x:c r="D5" s="2"/>
      <x:c r="E5" s="2"/>
      <x:c r="F5" s="2"/>
      <x:c r="G5" s="2"/>
      <x:c r="H5" s="2"/>
    </x:row>
    <x:row r="6" ht="46" customHeight="1">
      <x:c r="A6" s="79" t="str">
        <x:v>反馈概况（条数）</x:v>
      </x:c>
      <x:c r="B6" s="80" t="str">
        <x:v>Claude Code</x:v>
      </x:c>
      <x:c r="C6" s="80" t="str">
        <x:v>Codex</x:v>
      </x:c>
      <x:c r="D6" s="80" t="str">
        <x:v>Trae</x:v>
      </x:c>
      <x:c r="E6" s="81" t="str">
        <x:v>CodeArts</x:v>
      </x:c>
      <x:c r="F6" s="2"/>
      <x:c r="G6" s="29" t="str">
        <x:v>如何理解</x:v>
      </x:c>
      <x:c r="H6" s="2"/>
    </x:row>
    <x:row r="7" ht="36" customHeight="1">
      <x:c r="A7" s="2" t="str">
        <x:v>已体验且内容完整</x:v>
      </x:c>
      <x:c r="B7" s="2" t="n">
        <x:f>COUNTIFS('价值体验反馈'!$C$7:$C$150,B$6,'价值体验反馈'!$P$7:$P$150,"已反馈")</x:f>
        <x:v>0</x:v>
      </x:c>
      <x:c r="C7" s="2" t="n">
        <x:f>COUNTIFS('价值体验反馈'!$C$7:$C$150,C$6,'价值体验反馈'!$P$7:$P$150,"已反馈")</x:f>
        <x:v>0</x:v>
      </x:c>
      <x:c r="D7" s="2" t="n">
        <x:f>COUNTIFS('价值体验反馈'!$C$7:$C$150,D$6,'价值体验反馈'!$P$7:$P$150,"已反馈")</x:f>
        <x:v>0</x:v>
      </x:c>
      <x:c r="E7" s="2" t="n">
        <x:f>COUNTIFS('价值体验反馈'!$C$7:$C$150,E$6,'价值体验反馈'!$P$7:$P$150,"已反馈")</x:f>
        <x:v>0</x:v>
      </x:c>
      <x:c r="F7" s="2"/>
      <x:c r="G7" s="25" t="str">
        <x:v>不要求填写完整的量化运行记录，成员体验后可立即反馈。</x:v>
      </x:c>
      <x:c r="H7" s="2"/>
    </x:row>
    <x:row r="8" ht="36" customHeight="1">
      <x:c r="A8" s="2" t="str">
        <x:v>自述高价值</x:v>
      </x:c>
      <x:c r="B8" s="2" t="str">
        <x:f>IF(B7=0,"",COUNTIFS('价值体验反馈'!$C$7:$C$150,B$6,'价值体验反馈'!$P$7:$P$150,"已反馈",'价值体验反馈'!$J$7:$J$150,"高价值"))</x:f>
      </x:c>
      <x:c r="C8" s="2" t="str">
        <x:f>IF(C7=0,"",COUNTIFS('价值体验反馈'!$C$7:$C$150,C$6,'价值体验反馈'!$P$7:$P$150,"已反馈",'价值体验反馈'!$J$7:$J$150,"高价值"))</x:f>
      </x:c>
      <x:c r="D8" s="2" t="str">
        <x:f>IF(D7=0,"",COUNTIFS('价值体验反馈'!$C$7:$C$150,D$6,'价值体验反馈'!$P$7:$P$150,"已反馈",'价值体验反馈'!$J$7:$J$150,"高价值"))</x:f>
      </x:c>
      <x:c r="E8" s="2" t="str">
        <x:f>IF(E7=0,"",COUNTIFS('价值体验反馈'!$C$7:$C$150,E$6,'价值体验反馈'!$P$7:$P$150,"已反馈",'价值体验反馈'!$J$7:$J$150,"高价值"))</x:f>
      </x:c>
      <x:c r="F8" s="2"/>
      <x:c r="G8" s="25" t="str">
        <x:v>反馈者认为改变关键步骤、解决卡点或明显降低返工。</x:v>
      </x:c>
      <x:c r="H8" s="2"/>
    </x:row>
    <x:row r="9" ht="36" customHeight="1">
      <x:c r="A9" s="2" t="str">
        <x:v>明显更好的体验</x:v>
      </x:c>
      <x:c r="B9" s="2" t="str">
        <x:f>IF(B7=0,"",COUNTIFS('价值体验反馈'!$C$7:$C$150,B$6,'价值体验反馈'!$P$7:$P$150,"已反馈",'价值体验反馈'!$K$7:$K$150,"明显更好"))</x:f>
      </x:c>
      <x:c r="C9" s="2" t="str">
        <x:f>IF(C7=0,"",COUNTIFS('价值体验反馈'!$C$7:$C$150,C$6,'价值体验反馈'!$P$7:$P$150,"已反馈",'价值体验反馈'!$K$7:$K$150,"明显更好"))</x:f>
      </x:c>
      <x:c r="D9" s="2" t="str">
        <x:f>IF(D7=0,"",COUNTIFS('价值体验反馈'!$C$7:$C$150,D$6,'价值体验反馈'!$P$7:$P$150,"已反馈",'价值体验反馈'!$K$7:$K$150,"明显更好"))</x:f>
      </x:c>
      <x:c r="E9" s="2" t="str">
        <x:f>IF(E7=0,"",COUNTIFS('价值体验反馈'!$C$7:$C$150,E$6,'价值体验反馈'!$P$7:$P$150,"已反馈",'价值体验反馈'!$K$7:$K$150,"明显更好"))</x:f>
      </x:c>
      <x:c r="F9" s="2"/>
      <x:c r="G9" s="25" t="str">
        <x:v>具体事件带来强烈正面感受，需写出最有感的一幕。</x:v>
      </x:c>
      <x:c r="H9" s="2"/>
    </x:row>
    <x:row r="10" ht="36" customHeight="1">
      <x:c r="A10" s="2" t="str">
        <x:v>明显更差的体验</x:v>
      </x:c>
      <x:c r="B10" s="2" t="str">
        <x:f>IF(B7=0,"",COUNTIFS('价值体验反馈'!$C$7:$C$150,B$6,'价值体验反馈'!$P$7:$P$150,"已反馈",'价值体验反馈'!$K$7:$K$150,"明显更差"))</x:f>
      </x:c>
      <x:c r="C10" s="2" t="str">
        <x:f>IF(C7=0,"",COUNTIFS('价值体验反馈'!$C$7:$C$150,C$6,'价值体验反馈'!$P$7:$P$150,"已反馈",'价值体验反馈'!$K$7:$K$150,"明显更差"))</x:f>
      </x:c>
      <x:c r="D10" s="2" t="str">
        <x:f>IF(D7=0,"",COUNTIFS('价值体验反馈'!$C$7:$C$150,D$6,'价值体验反馈'!$P$7:$P$150,"已反馈",'价值体验反馈'!$K$7:$K$150,"明显更差"))</x:f>
      </x:c>
      <x:c r="E10" s="2" t="str">
        <x:f>IF(E7=0,"",COUNTIFS('价值体验反馈'!$C$7:$C$150,E$6,'价值体验反馈'!$P$7:$P$150,"已反馈",'价值体验反馈'!$K$7:$K$150,"明显更差"))</x:f>
      </x:c>
      <x:c r="F10" s="2"/>
      <x:c r="G10" s="25" t="str">
        <x:v>保留绕路、反复失败、失控或人工接管等真实负面体验。</x:v>
      </x:c>
      <x:c r="H10" s="2"/>
    </x:row>
    <x:row r="11" ht="36" customHeight="1">
      <x:c r="A11" s="2" t="str">
        <x:v>愿意常用</x:v>
      </x:c>
      <x:c r="B11" s="2" t="str">
        <x:f>IF(B7=0,"",COUNTIFS('价值体验反馈'!$C$7:$C$150,B$6,'价值体验反馈'!$P$7:$P$150,"已反馈",'价值体验反馈'!$M$7:$M$150,"愿意常用"))</x:f>
      </x:c>
      <x:c r="C11" s="2" t="str">
        <x:f>IF(C7=0,"",COUNTIFS('价值体验反馈'!$C$7:$C$150,C$6,'价值体验反馈'!$P$7:$P$150,"已反馈",'价值体验反馈'!$M$7:$M$150,"愿意常用"))</x:f>
      </x:c>
      <x:c r="D11" s="2" t="str">
        <x:f>IF(D7=0,"",COUNTIFS('价值体验反馈'!$C$7:$C$150,D$6,'价值体验反馈'!$P$7:$P$150,"已反馈",'价值体验反馈'!$M$7:$M$150,"愿意常用"))</x:f>
      </x:c>
      <x:c r="E11" s="2" t="str">
        <x:f>IF(E7=0,"",COUNTIFS('价值体验反馈'!$C$7:$C$150,E$6,'价值体验反馈'!$P$7:$P$150,"已反馈",'价值体验反馈'!$M$7:$M$150,"愿意常用"))</x:f>
      </x:c>
      <x:c r="F11" s="2"/>
      <x:c r="G11" s="25" t="str">
        <x:v>用于观察复用意愿；有条件使用和待判断不算愿意常用。</x:v>
      </x:c>
      <x:c r="H11" s="2"/>
    </x:row>
    <x:row r="12" ht="36" customHeight="1">
      <x:c r="A12" s="2" t="str">
        <x:v>已复核的完整反馈</x:v>
      </x:c>
      <x:c r="B12" s="2" t="n">
        <x:f>COUNTIFS('价值体验反馈'!$C$7:$C$150,B$6,'价值体验反馈'!$T$7:$T$150,1)</x:f>
        <x:v>0</x:v>
      </x:c>
      <x:c r="C12" s="2" t="n">
        <x:f>COUNTIFS('价值体验反馈'!$C$7:$C$150,C$6,'价值体验反馈'!$T$7:$T$150,1)</x:f>
        <x:v>0</x:v>
      </x:c>
      <x:c r="D12" s="2" t="n">
        <x:f>COUNTIFS('价值体验反馈'!$C$7:$C$150,D$6,'价值体验反馈'!$T$7:$T$150,1)</x:f>
        <x:v>0</x:v>
      </x:c>
      <x:c r="E12" s="2" t="n">
        <x:f>COUNTIFS('价值体验反馈'!$C$7:$C$150,E$6,'价值体验反馈'!$T$7:$T$150,1)</x:f>
        <x:v>0</x:v>
      </x:c>
      <x:c r="F12" s="2"/>
      <x:c r="G12" s="25" t="str">
        <x:v>同时具备证据链接、负责人“已核对”及复核人。</x:v>
      </x:c>
      <x:c r="H12" s="2"/>
    </x:row>
    <x:row r="13" ht="36" customHeight="1">
      <x:c r="A13" s="2" t="str">
        <x:v>其中已复核高价值</x:v>
      </x:c>
      <x:c r="B13" s="2" t="str">
        <x:f>IF(B12=0,"",COUNTIFS('价值体验反馈'!$C$7:$C$150,B$6,'价值体验反馈'!$T$7:$T$150,1,'价值体验反馈'!$J$7:$J$150,"高价值"))</x:f>
      </x:c>
      <x:c r="C13" s="2" t="str">
        <x:f>IF(C12=0,"",COUNTIFS('价值体验反馈'!$C$7:$C$150,C$6,'价值体验反馈'!$T$7:$T$150,1,'价值体验反馈'!$J$7:$J$150,"高价值"))</x:f>
      </x:c>
      <x:c r="D13" s="2" t="str">
        <x:f>IF(D12=0,"",COUNTIFS('价值体验反馈'!$C$7:$C$150,D$6,'价值体验反馈'!$T$7:$T$150,1,'价值体验反馈'!$J$7:$J$150,"高价值"))</x:f>
      </x:c>
      <x:c r="E13" s="2" t="str">
        <x:f>IF(E12=0,"",COUNTIFS('价值体验反馈'!$C$7:$C$150,E$6,'价值体验反馈'!$T$7:$T$150,1,'价值体验反馈'!$J$7:$J$150,"高价值"))</x:f>
      </x:c>
      <x:c r="F13" s="2"/>
      <x:c r="G13" s="25" t="str">
        <x:v>已复核反馈中的高价值条数；暂无复核时留空。</x:v>
      </x:c>
      <x:c r="H13" s="2"/>
    </x:row>
    <x:row r="14" ht="36" customHeight="1">
      <x:c r="A14" s="2" t="str">
        <x:v>未体验</x:v>
      </x:c>
      <x:c r="B14" s="2" t="n">
        <x:f>COUNTIFS('价值体验反馈'!$C$7:$C$150,B$6,'价值体验反馈'!$P$7:$P$150,"未体验")</x:f>
        <x:v>0</x:v>
      </x:c>
      <x:c r="C14" s="2" t="n">
        <x:f>COUNTIFS('价值体验反馈'!$C$7:$C$150,C$6,'价值体验反馈'!$P$7:$P$150,"未体验")</x:f>
        <x:v>0</x:v>
      </x:c>
      <x:c r="D14" s="2" t="n">
        <x:f>COUNTIFS('价值体验反馈'!$C$7:$C$150,D$6,'价值体验反馈'!$P$7:$P$150,"未体验")</x:f>
        <x:v>0</x:v>
      </x:c>
      <x:c r="E14" s="2" t="n">
        <x:f>COUNTIFS('价值体验反馈'!$C$7:$C$150,E$6,'价值体验反馈'!$P$7:$P$150,"未体验")</x:f>
        <x:v>0</x:v>
      </x:c>
      <x:c r="F14" s="2"/>
      <x:c r="G14" s="25" t="str">
        <x:v>仅记录覆盖情况，不算负面，也不算已经体验。</x:v>
      </x:c>
      <x:c r="H14" s="2"/>
    </x:row>
    <x:row r="15" ht="36" customHeight="1">
      <x:c r="A15" s="2" t="str">
        <x:v>待补齐或纠错</x:v>
      </x:c>
      <x:c r="B15" s="2" t="n">
        <x:f>COUNTIFS('价值体验反馈'!$C$7:$C$150,B$6,'价值体验反馈'!$P$7:$P$150,"&lt;&gt;待反馈",'价值体验反馈'!$P$7:$P$150,"&lt;&gt;已反馈",'价值体验反馈'!$P$7:$P$150,"&lt;&gt;未体验")</x:f>
        <x:v>0</x:v>
      </x:c>
      <x:c r="C15" s="2" t="n">
        <x:f>COUNTIFS('价值体验反馈'!$C$7:$C$150,C$6,'价值体验反馈'!$P$7:$P$150,"&lt;&gt;待反馈",'价值体验反馈'!$P$7:$P$150,"&lt;&gt;已反馈",'价值体验反馈'!$P$7:$P$150,"&lt;&gt;未体验")</x:f>
        <x:v>0</x:v>
      </x:c>
      <x:c r="D15" s="2" t="n">
        <x:f>COUNTIFS('价值体验反馈'!$C$7:$C$150,D$6,'价值体验反馈'!$P$7:$P$150,"&lt;&gt;待反馈",'价值体验反馈'!$P$7:$P$150,"&lt;&gt;已反馈",'价值体验反馈'!$P$7:$P$150,"&lt;&gt;未体验")</x:f>
        <x:v>0</x:v>
      </x:c>
      <x:c r="E15" s="2" t="n">
        <x:f>COUNTIFS('价值体验反馈'!$C$7:$C$150,E$6,'价值体验反馈'!$P$7:$P$150,"&lt;&gt;待反馈",'价值体验反馈'!$P$7:$P$150,"&lt;&gt;已反馈",'价值体验反馈'!$P$7:$P$150,"&lt;&gt;未体验")</x:f>
        <x:v>0</x:v>
      </x:c>
      <x:c r="F15" s="2"/>
      <x:c r="G15" s="25" t="str">
        <x:v>已开始填写但缺少具体内容或有ID问题；上方显示总数。</x:v>
      </x:c>
      <x:c r="H15" s="2"/>
    </x:row>
    <x:row r="16" ht="25" customHeight="1">
      <x:c r="A16" s="2"/>
      <x:c r="B16" s="2"/>
      <x:c r="C16" s="2"/>
      <x:c r="D16" s="2"/>
      <x:c r="E16" s="2"/>
      <x:c r="F16" s="2"/>
      <x:c r="G16" s="2"/>
      <x:c r="H16" s="2"/>
    </x:row>
    <x:row r="17" ht="25" customHeight="1">
      <x:c r="A17" s="2" t="str">
        <x:v>反馈条数不是人数，也不是工具排名。同一运行可记多件事；解读时同时查看样本场景与原话。</x:v>
      </x:c>
      <x:c r="B17" s="2"/>
      <x:c r="C17" s="2"/>
      <x:c r="D17" s="2"/>
      <x:c r="E17" s="2"/>
      <x:c r="F17" s="2"/>
      <x:c r="G17" s="2"/>
      <x:c r="H17" s="2"/>
    </x:row>
    <x:row r="18" ht="25" customHeight="1">
      <x:c r="A18" s="2"/>
      <x:c r="B18" s="2"/>
      <x:c r="C18" s="2"/>
      <x:c r="D18" s="2"/>
      <x:c r="E18" s="2"/>
      <x:c r="F18" s="2"/>
      <x:c r="G18" s="2"/>
      <x:c r="H18" s="2"/>
    </x:row>
    <x:row r="19" ht="46" customHeight="1">
      <x:c r="A19" s="79" t="str">
        <x:v>已复核高价值的工具特性</x:v>
      </x:c>
      <x:c r="B19" s="80" t="str">
        <x:v>Claude Code</x:v>
      </x:c>
      <x:c r="C19" s="80" t="str">
        <x:v>Codex</x:v>
      </x:c>
      <x:c r="D19" s="80" t="str">
        <x:v>Trae</x:v>
      </x:c>
      <x:c r="E19" s="81" t="str">
        <x:v>CodeArts</x:v>
      </x:c>
      <x:c r="F19" s="2"/>
      <x:c r="G19" s="29" t="str">
        <x:v>阅读方式</x:v>
      </x:c>
      <x:c r="H19" s="2"/>
    </x:row>
    <x:row r="20" ht="45" customHeight="1">
      <x:c r="A20" s="2" t="str">
        <x:v>需求澄清与任务拆解</x:v>
      </x:c>
      <x:c r="B20" s="2" t="str">
        <x:f>IF(B$12=0,"",COUNTIFS('价值体验反馈'!$C$7:$C$150,B$19,'价值体验反馈'!$F$7:$F$150,$A20,'价值体验反馈'!$J$7:$J$150,"高价值",'价值体验反馈'!$T$7:$T$150,1))</x:f>
      </x:c>
      <x:c r="C20" s="2" t="str">
        <x:f>IF(C$12=0,"",COUNTIFS('价值体验反馈'!$C$7:$C$150,C$19,'价值体验反馈'!$F$7:$F$150,$A20,'价值体验反馈'!$J$7:$J$150,"高价值",'价值体验反馈'!$T$7:$T$150,1))</x:f>
      </x:c>
      <x:c r="D20" s="2" t="str">
        <x:f>IF(D$12=0,"",COUNTIFS('价值体验反馈'!$C$7:$C$150,D$19,'价值体验反馈'!$F$7:$F$150,$A20,'价值体验反馈'!$J$7:$J$150,"高价值",'价值体验反馈'!$T$7:$T$150,1))</x:f>
      </x:c>
      <x:c r="E20" s="2" t="str">
        <x:f>IF(E$12=0,"",COUNTIFS('价值体验反馈'!$C$7:$C$150,E$19,'价值体验反馈'!$F$7:$F$150,$A20,'价值体验反馈'!$J$7:$J$150,"高价值",'价值体验反馈'!$T$7:$T$150,1))</x:f>
      </x:c>
      <x:c r="F20" s="2"/>
      <x:c r="G20" s="25" t="str">
        <x:v>本表回答“价值来自哪些具体工具特性”，条数指已复核的高价值反馈。</x:v>
      </x:c>
      <x:c r="H20" s="2"/>
    </x:row>
    <x:row r="21" ht="25" customHeight="1">
      <x:c r="A21" s="2" t="str">
        <x:v>代码库检索与定位</x:v>
      </x:c>
      <x:c r="B21" s="2" t="str">
        <x:f>IF(B$12=0,"",COUNTIFS('价值体验反馈'!$C$7:$C$150,B$19,'价值体验反馈'!$F$7:$F$150,$A21,'价值体验反馈'!$J$7:$J$150,"高价值",'价值体验反馈'!$T$7:$T$150,1))</x:f>
      </x:c>
      <x:c r="C21" s="2" t="str">
        <x:f>IF(C$12=0,"",COUNTIFS('价值体验反馈'!$C$7:$C$150,C$19,'价值体验反馈'!$F$7:$F$150,$A21,'价值体验反馈'!$J$7:$J$150,"高价值",'价值体验反馈'!$T$7:$T$150,1))</x:f>
      </x:c>
      <x:c r="D21" s="2" t="str">
        <x:f>IF(D$12=0,"",COUNTIFS('价值体验反馈'!$C$7:$C$150,D$19,'价值体验反馈'!$F$7:$F$150,$A21,'价值体验反馈'!$J$7:$J$150,"高价值",'价值体验反馈'!$T$7:$T$150,1))</x:f>
      </x:c>
      <x:c r="E21" s="2" t="str">
        <x:f>IF(E$12=0,"",COUNTIFS('价值体验反馈'!$C$7:$C$150,E$19,'价值体验反馈'!$F$7:$F$150,$A21,'价值体验反馈'!$J$7:$J$150,"高价值",'价值体验反馈'!$T$7:$T$150,1))</x:f>
      </x:c>
      <x:c r="F21" s="2"/>
      <x:c r="G21" s="25"/>
      <x:c r="H21" s="2"/>
    </x:row>
    <x:row r="22" ht="25" customHeight="1">
      <x:c r="A22" s="2" t="str">
        <x:v>跨文件修改</x:v>
      </x:c>
      <x:c r="B22" s="2" t="str">
        <x:f>IF(B$12=0,"",COUNTIFS('价值体验反馈'!$C$7:$C$150,B$19,'价值体验反馈'!$F$7:$F$150,$A22,'价值体验反馈'!$J$7:$J$150,"高价值",'价值体验反馈'!$T$7:$T$150,1))</x:f>
      </x:c>
      <x:c r="C22" s="2" t="str">
        <x:f>IF(C$12=0,"",COUNTIFS('价值体验反馈'!$C$7:$C$150,C$19,'价值体验反馈'!$F$7:$F$150,$A22,'价值体验反馈'!$J$7:$J$150,"高价值",'价值体验反馈'!$T$7:$T$150,1))</x:f>
      </x:c>
      <x:c r="D22" s="2" t="str">
        <x:f>IF(D$12=0,"",COUNTIFS('价值体验反馈'!$C$7:$C$150,D$19,'价值体验反馈'!$F$7:$F$150,$A22,'价值体验反馈'!$J$7:$J$150,"高价值",'价值体验反馈'!$T$7:$T$150,1))</x:f>
      </x:c>
      <x:c r="E22" s="2" t="str">
        <x:f>IF(E$12=0,"",COUNTIFS('价值体验反馈'!$C$7:$C$150,E$19,'价值体验反馈'!$F$7:$F$150,$A22,'价值体验反馈'!$J$7:$J$150,"高价值",'价值体验反馈'!$T$7:$T$150,1))</x:f>
      </x:c>
      <x:c r="F22" s="2"/>
      <x:c r="G22" s="25"/>
      <x:c r="H22" s="2"/>
    </x:row>
    <x:row r="23" ht="45" customHeight="1">
      <x:c r="A23" s="2" t="str">
        <x:v>测试生成与执行</x:v>
      </x:c>
      <x:c r="B23" s="2" t="str">
        <x:f>IF(B$12=0,"",COUNTIFS('价值体验反馈'!$C$7:$C$150,B$19,'价值体验反馈'!$F$7:$F$150,$A23,'价值体验反馈'!$J$7:$J$150,"高价值",'价值体验反馈'!$T$7:$T$150,1))</x:f>
      </x:c>
      <x:c r="C23" s="2" t="str">
        <x:f>IF(C$12=0,"",COUNTIFS('价值体验反馈'!$C$7:$C$150,C$19,'价值体验反馈'!$F$7:$F$150,$A23,'价值体验反馈'!$J$7:$J$150,"高价值",'价值体验反馈'!$T$7:$T$150,1))</x:f>
      </x:c>
      <x:c r="D23" s="2" t="str">
        <x:f>IF(D$12=0,"",COUNTIFS('价值体验反馈'!$C$7:$C$150,D$19,'价值体验反馈'!$F$7:$F$150,$A23,'价值体验反馈'!$J$7:$J$150,"高价值",'价值体验反馈'!$T$7:$T$150,1))</x:f>
      </x:c>
      <x:c r="E23" s="2" t="str">
        <x:f>IF(E$12=0,"",COUNTIFS('价值体验反馈'!$C$7:$C$150,E$19,'价值体验反馈'!$F$7:$F$150,$A23,'价值体验反馈'!$J$7:$J$150,"高价值",'价值体验反馈'!$T$7:$T$150,1))</x:f>
      </x:c>
      <x:c r="F23" s="2"/>
      <x:c r="G23" s="25" t="str">
        <x:v>候选标签用于引导观察，不代表预先认定某个工具支持或擅长该能力。</x:v>
      </x:c>
      <x:c r="H23" s="2"/>
    </x:row>
    <x:row r="24" ht="25" customHeight="1">
      <x:c r="A24" s="2" t="str">
        <x:v>报错定位与自修复</x:v>
      </x:c>
      <x:c r="B24" s="2" t="str">
        <x:f>IF(B$12=0,"",COUNTIFS('价值体验反馈'!$C$7:$C$150,B$19,'价值体验反馈'!$F$7:$F$150,$A24,'价值体验反馈'!$J$7:$J$150,"高价值",'价值体验反馈'!$T$7:$T$150,1))</x:f>
      </x:c>
      <x:c r="C24" s="2" t="str">
        <x:f>IF(C$12=0,"",COUNTIFS('价值体验反馈'!$C$7:$C$150,C$19,'价值体验反馈'!$F$7:$F$150,$A24,'价值体验反馈'!$J$7:$J$150,"高价值",'价值体验反馈'!$T$7:$T$150,1))</x:f>
      </x:c>
      <x:c r="D24" s="2" t="str">
        <x:f>IF(D$12=0,"",COUNTIFS('价值体验反馈'!$C$7:$C$150,D$19,'价值体验反馈'!$F$7:$F$150,$A24,'价值体验反馈'!$J$7:$J$150,"高价值",'价值体验反馈'!$T$7:$T$150,1))</x:f>
      </x:c>
      <x:c r="E24" s="2" t="str">
        <x:f>IF(E$12=0,"",COUNTIFS('价值体验反馈'!$C$7:$C$150,E$19,'价值体验反馈'!$F$7:$F$150,$A24,'价值体验反馈'!$J$7:$J$150,"高价值",'价值体验反馈'!$T$7:$T$150,1))</x:f>
      </x:c>
      <x:c r="F24" s="2"/>
      <x:c r="G24" s="25"/>
      <x:c r="H24" s="2"/>
    </x:row>
    <x:row r="25" ht="25" customHeight="1">
      <x:c r="A25" s="2" t="str">
        <x:v>终端与工具调用</x:v>
      </x:c>
      <x:c r="B25" s="2" t="str">
        <x:f>IF(B$12=0,"",COUNTIFS('价值体验反馈'!$C$7:$C$150,B$19,'价值体验反馈'!$F$7:$F$150,$A25,'价值体验反馈'!$J$7:$J$150,"高价值",'价值体验反馈'!$T$7:$T$150,1))</x:f>
      </x:c>
      <x:c r="C25" s="2" t="str">
        <x:f>IF(C$12=0,"",COUNTIFS('价值体验反馈'!$C$7:$C$150,C$19,'价值体验反馈'!$F$7:$F$150,$A25,'价值体验反馈'!$J$7:$J$150,"高价值",'价值体验反馈'!$T$7:$T$150,1))</x:f>
      </x:c>
      <x:c r="D25" s="2" t="str">
        <x:f>IF(D$12=0,"",COUNTIFS('价值体验反馈'!$C$7:$C$150,D$19,'价值体验反馈'!$F$7:$F$150,$A25,'价值体验反馈'!$J$7:$J$150,"高价值",'价值体验反馈'!$T$7:$T$150,1))</x:f>
      </x:c>
      <x:c r="E25" s="2" t="str">
        <x:f>IF(E$12=0,"",COUNTIFS('价值体验反馈'!$C$7:$C$150,E$19,'价值体验反馈'!$F$7:$F$150,$A25,'价值体验反馈'!$J$7:$J$150,"高价值",'价值体验反馈'!$T$7:$T$150,1))</x:f>
      </x:c>
      <x:c r="F25" s="2"/>
      <x:c r="G25" s="25"/>
      <x:c r="H25" s="2"/>
    </x:row>
    <x:row r="26" ht="45" customHeight="1">
      <x:c r="A26" s="2" t="str">
        <x:v>变更审查与解释</x:v>
      </x:c>
      <x:c r="B26" s="2" t="str">
        <x:f>IF(B$12=0,"",COUNTIFS('价值体验反馈'!$C$7:$C$150,B$19,'价值体验反馈'!$F$7:$F$150,$A26,'价值体验反馈'!$J$7:$J$150,"高价值",'价值体验反馈'!$T$7:$T$150,1))</x:f>
      </x:c>
      <x:c r="C26" s="2" t="str">
        <x:f>IF(C$12=0,"",COUNTIFS('价值体验反馈'!$C$7:$C$150,C$19,'价值体验反馈'!$F$7:$F$150,$A26,'价值体验反馈'!$J$7:$J$150,"高价值",'价值体验反馈'!$T$7:$T$150,1))</x:f>
      </x:c>
      <x:c r="D26" s="2" t="str">
        <x:f>IF(D$12=0,"",COUNTIFS('价值体验反馈'!$C$7:$C$150,D$19,'价值体验反馈'!$F$7:$F$150,$A26,'价值体验反馈'!$J$7:$J$150,"高价值",'价值体验反馈'!$T$7:$T$150,1))</x:f>
      </x:c>
      <x:c r="E26" s="2" t="str">
        <x:f>IF(E$12=0,"",COUNTIFS('价值体验反馈'!$C$7:$C$150,E$19,'价值体验反馈'!$F$7:$F$150,$A26,'价值体验反馈'!$J$7:$J$150,"高价值",'价值体验反馈'!$T$7:$T$150,1))</x:f>
      </x:c>
      <x:c r="F26" s="2"/>
      <x:c r="G26" s="25" t="str">
        <x:v>定位到有反馈的类别后，在“价值体验反馈”按工具与类别筛选，阅读场景、变化与体验原话。</x:v>
      </x:c>
      <x:c r="H26" s="2"/>
    </x:row>
    <x:row r="27" ht="25" customHeight="1">
      <x:c r="A27" s="2" t="str">
        <x:v>上下文与会话续接</x:v>
      </x:c>
      <x:c r="B27" s="2" t="str">
        <x:f>IF(B$12=0,"",COUNTIFS('价值体验反馈'!$C$7:$C$150,B$19,'价值体验反馈'!$F$7:$F$150,$A27,'价值体验反馈'!$J$7:$J$150,"高价值",'价值体验反馈'!$T$7:$T$150,1))</x:f>
      </x:c>
      <x:c r="C27" s="2" t="str">
        <x:f>IF(C$12=0,"",COUNTIFS('价值体验反馈'!$C$7:$C$150,C$19,'价值体验反馈'!$F$7:$F$150,$A27,'价值体验反馈'!$J$7:$J$150,"高价值",'价值体验反馈'!$T$7:$T$150,1))</x:f>
      </x:c>
      <x:c r="D27" s="2" t="str">
        <x:f>IF(D$12=0,"",COUNTIFS('价值体验反馈'!$C$7:$C$150,D$19,'价值体验反馈'!$F$7:$F$150,$A27,'价值体验反馈'!$J$7:$J$150,"高价值",'价值体验反馈'!$T$7:$T$150,1))</x:f>
      </x:c>
      <x:c r="E27" s="2" t="str">
        <x:f>IF(E$12=0,"",COUNTIFS('价值体验反馈'!$C$7:$C$150,E$19,'价值体验反馈'!$F$7:$F$150,$A27,'价值体验反馈'!$J$7:$J$150,"高价值",'价值体验反馈'!$T$7:$T$150,1))</x:f>
      </x:c>
      <x:c r="F27" s="2"/>
      <x:c r="G27" s="25"/>
      <x:c r="H27" s="2"/>
    </x:row>
    <x:row r="28" ht="25" customHeight="1">
      <x:c r="A28" s="2" t="str">
        <x:v>权限确认与人工接管</x:v>
      </x:c>
      <x:c r="B28" s="2" t="str">
        <x:f>IF(B$12=0,"",COUNTIFS('价值体验反馈'!$C$7:$C$150,B$19,'价值体验反馈'!$F$7:$F$150,$A28,'价值体验反馈'!$J$7:$J$150,"高价值",'价值体验反馈'!$T$7:$T$150,1))</x:f>
      </x:c>
      <x:c r="C28" s="2" t="str">
        <x:f>IF(C$12=0,"",COUNTIFS('价值体验反馈'!$C$7:$C$150,C$19,'价值体验反馈'!$F$7:$F$150,$A28,'价值体验反馈'!$J$7:$J$150,"高价值",'价值体验反馈'!$T$7:$T$150,1))</x:f>
      </x:c>
      <x:c r="D28" s="2" t="str">
        <x:f>IF(D$12=0,"",COUNTIFS('价值体验反馈'!$C$7:$C$150,D$19,'价值体验反馈'!$F$7:$F$150,$A28,'价值体验反馈'!$J$7:$J$150,"高价值",'价值体验反馈'!$T$7:$T$150,1))</x:f>
      </x:c>
      <x:c r="E28" s="2" t="str">
        <x:f>IF(E$12=0,"",COUNTIFS('价值体验反馈'!$C$7:$C$150,E$19,'价值体验反馈'!$F$7:$F$150,$A28,'价值体验反馈'!$J$7:$J$150,"高价值",'价值体验反馈'!$T$7:$T$150,1))</x:f>
      </x:c>
      <x:c r="F28" s="2"/>
      <x:c r="G28" s="25"/>
      <x:c r="H28" s="2"/>
    </x:row>
    <x:row r="29" ht="45" customHeight="1">
      <x:c r="A29" s="2" t="str">
        <x:v>项目规则与流程集成</x:v>
      </x:c>
      <x:c r="B29" s="2" t="str">
        <x:f>IF(B$12=0,"",COUNTIFS('价值体验反馈'!$C$7:$C$150,B$19,'价值体验反馈'!$F$7:$F$150,$A29,'价值体验反馈'!$J$7:$J$150,"高价值",'价值体验反馈'!$T$7:$T$150,1))</x:f>
      </x:c>
      <x:c r="C29" s="2" t="str">
        <x:f>IF(C$12=0,"",COUNTIFS('价值体验反馈'!$C$7:$C$150,C$19,'价值体验反馈'!$F$7:$F$150,$A29,'价值体验反馈'!$J$7:$J$150,"高价值",'价值体验反馈'!$T$7:$T$150,1))</x:f>
      </x:c>
      <x:c r="D29" s="2" t="str">
        <x:f>IF(D$12=0,"",COUNTIFS('价值体验反馈'!$C$7:$C$150,D$19,'价值体验反馈'!$F$7:$F$150,$A29,'价值体验反馈'!$J$7:$J$150,"高价值",'价值体验反馈'!$T$7:$T$150,1))</x:f>
      </x:c>
      <x:c r="E29" s="2" t="str">
        <x:f>IF(E$12=0,"",COUNTIFS('价值体验反馈'!$C$7:$C$150,E$19,'价值体验反馈'!$F$7:$F$150,$A29,'价值体验反馈'!$J$7:$J$150,"高价值",'价值体验反馈'!$T$7:$T$150,1))</x:f>
      </x:c>
      <x:c r="F29" s="2"/>
      <x:c r="G29" s="25" t="str">
        <x:v>没有复核时留空，不把没有记录等同于没有价值。</x:v>
      </x:c>
      <x:c r="H29" s="2"/>
    </x:row>
    <x:row r="30" ht="25" customHeight="1">
      <x:c r="A30" s="2" t="str">
        <x:v>其他（具体说明）</x:v>
      </x:c>
      <x:c r="B30" s="2" t="str">
        <x:f>IF(B$12=0,"",COUNTIFS('价值体验反馈'!$C$7:$C$150,B$19,'价值体验反馈'!$F$7:$F$150,$A30,'价值体验反馈'!$J$7:$J$150,"高价值",'价值体验反馈'!$T$7:$T$150,1))</x:f>
      </x:c>
      <x:c r="C30" s="2" t="str">
        <x:f>IF(C$12=0,"",COUNTIFS('价值体验反馈'!$C$7:$C$150,C$19,'价值体验反馈'!$F$7:$F$150,$A30,'价值体验反馈'!$J$7:$J$150,"高价值",'价值体验反馈'!$T$7:$T$150,1))</x:f>
      </x:c>
      <x:c r="D30" s="2" t="str">
        <x:f>IF(D$12=0,"",COUNTIFS('价值体验反馈'!$C$7:$C$150,D$19,'价值体验反馈'!$F$7:$F$150,$A30,'价值体验反馈'!$J$7:$J$150,"高价值",'价值体验反馈'!$T$7:$T$150,1))</x:f>
      </x:c>
      <x:c r="E30" s="2" t="str">
        <x:f>IF(E$12=0,"",COUNTIFS('价值体验反馈'!$C$7:$C$150,E$19,'价值体验反馈'!$F$7:$F$150,$A30,'价值体验反馈'!$J$7:$J$150,"高价值",'价值体验反馈'!$T$7:$T$150,1))</x:f>
      </x:c>
      <x:c r="F30" s="2"/>
      <x:c r="G30" s="25"/>
      <x:c r="H30" s="2"/>
    </x:row>
    <x:row r="31" ht="25" customHeight="1">
      <x:c r="A31" s="2"/>
      <x:c r="B31" s="2"/>
      <x:c r="C31" s="2"/>
      <x:c r="D31" s="2"/>
      <x:c r="E31" s="2"/>
      <x:c r="F31" s="2"/>
      <x:c r="G31" s="2"/>
      <x:c r="H31" s="2"/>
    </x:row>
    <x:row r="32" ht="25" customHeight="1">
      <x:c r="A32" s="2"/>
      <x:c r="B32" s="2"/>
      <x:c r="C32" s="2"/>
      <x:c r="D32" s="2"/>
      <x:c r="E32" s="2"/>
      <x:c r="F32" s="2"/>
      <x:c r="G32" s="2"/>
      <x:c r="H32" s="2"/>
    </x:row>
    <x:row r="33" ht="25" customHeight="1">
      <x:c r="A33" s="29" t="str">
        <x:v>提炼结论（引用反馈ID）</x:v>
      </x:c>
      <x:c r="B33" s="65" t="str">
        <x:v>Claude Code</x:v>
      </x:c>
      <x:c r="C33" s="65" t="str">
        <x:v>Codex</x:v>
      </x:c>
      <x:c r="D33" s="65" t="str">
        <x:v>Trae</x:v>
      </x:c>
      <x:c r="E33" s="65" t="str">
        <x:v>CodeArts</x:v>
      </x:c>
      <x:c r="F33" s="2"/>
      <x:c r="G33" s="2"/>
      <x:c r="H33" s="2"/>
    </x:row>
    <x:row r="34" ht="85" customHeight="1">
      <x:c r="A34" s="2" t="str">
        <x:v>最值得保留的价值特性</x:v>
      </x:c>
      <x:c r="B34" s="84"/>
      <x:c r="C34" s="84"/>
      <x:c r="D34" s="84"/>
      <x:c r="E34" s="84"/>
      <x:c r="F34" s="2"/>
      <x:c r="G34" s="25" t="str">
        <x:v>写功能 + 实际变化，例如“跨文件修改，让我少做一次人工查漏（FB001）”。</x:v>
      </x:c>
      <x:c r="H34" s="2"/>
    </x:row>
    <x:row r="35" ht="25" customHeight="1">
      <x:c r="A35" s="2"/>
      <x:c r="B35" s="2"/>
      <x:c r="C35" s="2"/>
      <x:c r="D35" s="2"/>
      <x:c r="E35" s="2"/>
      <x:c r="F35" s="2"/>
      <x:c r="G35" s="25"/>
      <x:c r="H35" s="2"/>
    </x:row>
    <x:row r="36" ht="85" customHeight="1">
      <x:c r="A36" s="2" t="str">
        <x:v>最明显的好 / 坏体验</x:v>
      </x:c>
      <x:c r="B36" s="84"/>
      <x:c r="C36" s="84"/>
      <x:c r="D36" s="84"/>
      <x:c r="E36" s="84"/>
      <x:c r="F36" s="2"/>
      <x:c r="G36" s="25" t="str">
        <x:v>写可回放的一幕，例如“补充边界条件后自动补测”或“反复重跑失败命令（反馈ID）”。</x:v>
      </x:c>
      <x:c r="H36" s="2"/>
    </x:row>
    <x:row r="37" ht="25" customHeight="1">
      <x:c r="A37" s="2"/>
      <x:c r="B37" s="2"/>
      <x:c r="C37" s="2"/>
      <x:c r="D37" s="2"/>
      <x:c r="E37" s="2"/>
      <x:c r="F37" s="2"/>
      <x:c r="G37" s="25"/>
      <x:c r="H37" s="2"/>
    </x:row>
    <x:row r="38" ht="85" customHeight="1">
      <x:c r="A38" s="2" t="str">
        <x:v>优先改进点与继续使用理由</x:v>
      </x:c>
      <x:c r="B38" s="84"/>
      <x:c r="C38" s="84"/>
      <x:c r="D38" s="84"/>
      <x:c r="E38" s="84"/>
      <x:c r="F38" s="2"/>
      <x:c r="G38" s="25" t="str">
        <x:v>写明确条件，例如“保留代码定位；执行修改前增加确认，满足后愿意常用”。</x:v>
      </x:c>
      <x:c r="H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</x:row>
    <x:row r="40" ht="25" customHeight="1">
      <x:c r="A40" s="2"/>
      <x:c r="B40" s="2"/>
      <x:c r="C40" s="2"/>
      <x:c r="D40" s="2"/>
      <x:c r="E40" s="2"/>
      <x:c r="F40" s="2"/>
      <x:c r="G40" s="2"/>
      <x:c r="H40" s="2"/>
    </x:row>
    <x:row r="41" ht="25" customHeight="1">
      <x:c r="A41" s="2" t="str">
        <x:v>价值与体验来自成员自述。附证据后由负责人复核，并结合“交付对比”核对实际交付结果。</x:v>
      </x:c>
      <x:c r="B41" s="2"/>
      <x:c r="C41" s="2"/>
      <x:c r="D41" s="2"/>
      <x:c r="E41" s="2"/>
      <x:c r="F41" s="2"/>
      <x:c r="G41" s="2"/>
      <x:c r="H41" s="2"/>
    </x:row>
    <x:row r="42" ht="25" customHeight="1">
      <x:c r="A42" s="2"/>
      <x:c r="B42" s="2"/>
      <x:c r="C42" s="2"/>
      <x:c r="D42" s="2"/>
      <x:c r="E42" s="2"/>
      <x:c r="F42" s="2"/>
      <x:c r="G42" s="2"/>
      <x:c r="H42" s="2"/>
    </x:row>
    <x:row r="43" ht="25" customHeight="1">
      <x:c r="A43" s="2" t="str">
        <x:v>先填写“价值体验反馈”，再提炼结论。不要只写“很好用”“一般”或给一个总分。</x:v>
      </x:c>
      <x:c r="B43" s="2"/>
      <x:c r="C43" s="2"/>
      <x:c r="D43" s="2"/>
      <x:c r="E43" s="2"/>
      <x:c r="F43" s="2"/>
      <x:c r="G43" s="2"/>
      <x:c r="H43" s="2"/>
    </x:row>
    <x:row r="44" ht="25" customHeight="1">
      <x:c r="A44" s="2"/>
      <x:c r="B44" s="2"/>
      <x:c r="C44" s="2"/>
      <x:c r="D44" s="2"/>
      <x:c r="E44" s="2"/>
      <x:c r="F44" s="2"/>
      <x:c r="G44" s="2"/>
      <x:c r="H44" s="2"/>
    </x:row>
  </x:sheetData>
  <x:conditionalFormatting sqref="B25:E32">
    <x:cfRule type="expression" dxfId="4" priority="1">
      <x:formula>AND(ISNUMBER(B25),B25&gt;=1,B25&lt;3)</x:formula>
    </x:cfRule>
    <x:cfRule type="expression" dxfId="5" priority="2">
      <x:formula>AND(ISNUMBER(B25),B25&gt;=3,B25&lt;4)</x:formula>
    </x:cfRule>
    <x:cfRule type="expression" dxfId="6" priority="3">
      <x:formula>AND(ISNUMBER(B25),B25&gt;=4)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16781"/>
  </x:sheetPr>
  <x:sheetViews>
    <x:sheetView showGridLines="0" workbookViewId="0"/>
  </x:sheetViews>
  <x:sheetFormatPr defaultRowHeight="15"/>
  <x:cols>
    <x:col min="1" max="1" width="30" hidden="0" customWidth="1"/>
    <x:col min="2" max="2" width="25" hidden="0" customWidth="1"/>
    <x:col min="3" max="3" width="43" hidden="0" customWidth="1"/>
    <x:col min="4" max="4" width="28" hidden="0" customWidth="1"/>
    <x:col min="5" max="5" width="26" hidden="0" customWidth="1"/>
    <x:col min="6" max="6" width="24" hidden="0" customWidth="1"/>
    <x:col min="7" max="7" width="26" hidden="0" customWidth="1"/>
    <x:col min="8" max="8" width="27" hidden="0" customWidth="1"/>
    <x:col min="9" max="9" width="26" hidden="0" customWidth="1"/>
    <x:col min="10" max="10" width="20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4" customHeight="1">
      <x:c r="A2" s="4" t="str">
        <x:v>试点设置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5" customHeight="1">
      <x:c r="A3" s="7" t="str">
        <x:v>黄色为填写项，灰蓝色为自动计算或固定标识。先冻结本页，再开始正式计时。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25" customHeight="1">
      <x:c r="A5" s="2" t="str">
        <x:v>批次编号</x:v>
      </x:c>
      <x:c r="B5" s="2"/>
      <x:c r="C5" s="9"/>
      <x:c r="D5" s="2"/>
      <x:c r="E5" s="2" t="str">
        <x:v>一个文件只评一个批次，四种工具均使用同一批特性。</x:v>
      </x:c>
      <x:c r="F5" s="2"/>
      <x:c r="G5" s="2"/>
      <x:c r="H5" s="2"/>
      <x:c r="I5" s="2"/>
      <x:c r="J5" s="2"/>
    </x:row>
    <x:row r="6" ht="25" customHeight="1">
      <x:c r="A6" s="2" t="str">
        <x:v>项目 / 团队</x:v>
      </x:c>
      <x:c r="B6" s="2"/>
      <x:c r="C6" s="10"/>
      <x:c r="D6" s="2"/>
      <x:c r="E6" s="2" t="str">
        <x:v>评测的是工具、模型、配置及操作者的组合。</x:v>
      </x:c>
      <x:c r="F6" s="2"/>
      <x:c r="G6" s="2"/>
      <x:c r="H6" s="2"/>
      <x:c r="I6" s="2"/>
      <x:c r="J6" s="2"/>
    </x:row>
    <x:row r="7" ht="25" customHeight="1">
      <x:c r="A7" s="2" t="str">
        <x:v>试点负责人</x:v>
      </x:c>
      <x:c r="B7" s="2"/>
      <x:c r="C7" s="10"/>
      <x:c r="D7" s="2"/>
      <x:c r="E7" s="2" t="str">
        <x:v>安排复核人核验产物。开发者评分须有行为证据。</x:v>
      </x:c>
      <x:c r="F7" s="2"/>
      <x:c r="G7" s="2"/>
      <x:c r="H7" s="2"/>
      <x:c r="I7" s="2"/>
      <x:c r="J7" s="2"/>
    </x:row>
    <x:row r="8" ht="25" customHeight="1">
      <x:c r="A8" s="2" t="str">
        <x:v>评测日期</x:v>
      </x:c>
      <x:c r="B8" s="2"/>
      <x:c r="C8" s="12"/>
      <x:c r="D8" s="2"/>
      <x:c r="E8" s="2" t="str">
        <x:v>日期以本批次实际开始日期填写。</x:v>
      </x:c>
      <x:c r="F8" s="2"/>
      <x:c r="G8" s="2"/>
      <x:c r="H8" s="2"/>
      <x:c r="I8" s="2"/>
      <x:c r="J8" s="2"/>
    </x:row>
    <x:row r="9" ht="25" customHeight="1">
      <x:c r="A9" s="2" t="str">
        <x:v>仓库地址 + 基准提交 SHA</x:v>
      </x:c>
      <x:c r="B9" s="2"/>
      <x:c r="C9" s="10"/>
      <x:c r="D9" s="2"/>
      <x:c r="E9" s="2" t="str">
        <x:v>每个工具从同一干净提交启动，使用独立分支和会话。</x:v>
      </x:c>
      <x:c r="F9" s="2"/>
      <x:c r="G9" s="2"/>
      <x:c r="H9" s="2"/>
      <x:c r="I9" s="2"/>
      <x:c r="J9" s="2"/>
    </x:row>
    <x:row r="10" ht="25" customHeight="1">
      <x:c r="A10" s="2" t="str">
        <x:v>环境、依赖与测试数据快照</x:v>
      </x:c>
      <x:c r="B10" s="2"/>
      <x:c r="C10" s="10"/>
      <x:c r="D10" s="2"/>
      <x:c r="E10" s="2" t="str">
        <x:v>统一硬件、网络、依赖与数据。差异写入运行记录。</x:v>
      </x:c>
      <x:c r="F10" s="2"/>
      <x:c r="G10" s="2"/>
      <x:c r="H10" s="2"/>
      <x:c r="I10" s="2"/>
      <x:c r="J10" s="2"/>
    </x:row>
    <x:row r="11" ht="25" customHeight="1">
      <x:c r="A11" s="2" t="str">
        <x:v>评测路径</x:v>
      </x:c>
      <x:c r="B11" s="2"/>
      <x:c r="C11" s="10" t="str">
        <x:v>受控基线</x:v>
      </x:c>
      <x:c r="D11" s="2"/>
      <x:c r="E11" s="2" t="str">
        <x:v>受控基线统一上下文与权限。最佳实践允许工具专属配置。</x:v>
      </x:c>
      <x:c r="F11" s="2"/>
      <x:c r="G11" s="2"/>
      <x:c r="H11" s="2"/>
      <x:c r="I11" s="2"/>
      <x:c r="J11" s="2"/>
    </x:row>
    <x:row r="12" ht="25" customHeight="1">
      <x:c r="A12" s="2" t="str">
        <x:v>费用口径</x:v>
      </x:c>
      <x:c r="B12" s="2"/>
      <x:c r="C12" s="10" t="str">
        <x:v>不统计</x:v>
      </x:c>
      <x:c r="D12" s="2"/>
      <x:c r="E12" s="2" t="str">
        <x:v>按量实付或订阅分摊须统一口径，说明记入证据包。</x:v>
      </x:c>
      <x:c r="F12" s="2"/>
      <x:c r="G12" s="2"/>
      <x:c r="H12" s="2"/>
      <x:c r="I12" s="2"/>
      <x:c r="J12" s="2"/>
    </x:row>
    <x:row r="13" ht="25" customHeight="1">
      <x:c r="A13" s="2" t="str">
        <x:v>统一初始提示词 / 规则包链接</x:v>
      </x:c>
      <x:c r="B13" s="2"/>
      <x:c r="C13" s="11"/>
      <x:c r="D13" s="2"/>
      <x:c r="E13" s="2" t="str">
        <x:v>原始提示词一致。追问与追加说明全部留痕。</x:v>
      </x:c>
      <x:c r="F13" s="2"/>
      <x:c r="G13" s="2"/>
      <x:c r="H13" s="2"/>
      <x:c r="I13" s="2"/>
      <x:c r="J13" s="2"/>
    </x:row>
    <x:row r="14" ht="2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</x:row>
    <x:row r="15" ht="25" customHeight="1">
      <x:c r="A15" s="2" t="str">
        <x:v>配置检查</x:v>
      </x:c>
      <x:c r="B15" s="2"/>
      <x:c r="C15" s="13" t="str">
        <x:f>IF(AND(COUNTA(C5:C13)=9,COUNTA(B20:H23)=28),"齐备","待填写")</x:f>
        <x:v>待填写</x:v>
      </x:c>
      <x:c r="D15" s="2"/>
      <x:c r="E15" s="2" t="str">
        <x:v>版本、模型不可见时，填“不可见”，并附界面截图。</x:v>
      </x:c>
      <x:c r="F15" s="2"/>
      <x:c r="G15" s="2"/>
      <x:c r="H15" s="2"/>
      <x:c r="I15" s="2"/>
      <x:c r="J15" s="2"/>
    </x:row>
    <x:row r="16" ht="2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</x:row>
    <x:row r="17" ht="2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</x:row>
    <x:row r="18" ht="2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</x:row>
    <x:row r="19" ht="46" customHeight="1">
      <x:c r="A19" s="22" t="str">
        <x:v>工具</x:v>
      </x:c>
      <x:c r="B19" s="23" t="str">
        <x:v>具体产品 / 端形态</x:v>
      </x:c>
      <x:c r="C19" s="23" t="str">
        <x:v>工具版本</x:v>
      </x:c>
      <x:c r="D19" s="23" t="str">
        <x:v>模型 / 档位 / 推理设置</x:v>
      </x:c>
      <x:c r="E19" s="23" t="str">
        <x:v>套餐 / 配额</x:v>
      </x:c>
      <x:c r="F19" s="23" t="str">
        <x:v>权限 / 插件 / 索引配置</x:v>
      </x:c>
      <x:c r="G19" s="23" t="str">
        <x:v>配置证据链接</x:v>
      </x:c>
      <x:c r="H19" s="24" t="str">
        <x:v>培训与熟悉度说明</x:v>
      </x:c>
      <x:c r="I19" s="2"/>
      <x:c r="J19" s="2"/>
    </x:row>
    <x:row r="20" ht="64" customHeight="1">
      <x:c r="A20" s="25" t="str">
        <x:v>Claude Code</x:v>
      </x:c>
      <x:c r="B20" s="26"/>
      <x:c r="C20" s="26"/>
      <x:c r="D20" s="26"/>
      <x:c r="E20" s="26"/>
      <x:c r="F20" s="26"/>
      <x:c r="G20" s="26"/>
      <x:c r="H20" s="26"/>
      <x:c r="I20" s="2"/>
      <x:c r="J20" s="2"/>
    </x:row>
    <x:row r="21" ht="64" customHeight="1">
      <x:c r="A21" s="25" t="str">
        <x:v>Codex</x:v>
      </x:c>
      <x:c r="B21" s="27"/>
      <x:c r="C21" s="27"/>
      <x:c r="D21" s="27"/>
      <x:c r="E21" s="27"/>
      <x:c r="F21" s="27"/>
      <x:c r="G21" s="27"/>
      <x:c r="H21" s="27"/>
      <x:c r="I21" s="2"/>
      <x:c r="J21" s="2"/>
    </x:row>
    <x:row r="22" ht="64" customHeight="1">
      <x:c r="A22" s="25" t="str">
        <x:v>Trae</x:v>
      </x:c>
      <x:c r="B22" s="27"/>
      <x:c r="C22" s="27"/>
      <x:c r="D22" s="27"/>
      <x:c r="E22" s="27"/>
      <x:c r="F22" s="27"/>
      <x:c r="G22" s="27"/>
      <x:c r="H22" s="27"/>
      <x:c r="I22" s="2"/>
      <x:c r="J22" s="2"/>
    </x:row>
    <x:row r="23" ht="64" customHeight="1">
      <x:c r="A23" s="25" t="str">
        <x:v>CodeArts</x:v>
      </x:c>
      <x:c r="B23" s="28"/>
      <x:c r="C23" s="28"/>
      <x:c r="D23" s="28"/>
      <x:c r="E23" s="28"/>
      <x:c r="F23" s="28"/>
      <x:c r="G23" s="28"/>
      <x:c r="H23" s="28"/>
      <x:c r="I23" s="2"/>
      <x:c r="J23" s="2"/>
    </x:row>
    <x:row r="24" ht="2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</x:row>
    <x:row r="25" ht="2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</x:row>
    <x:row r="26" ht="25" customHeight="1">
      <x:c r="A26" s="29" t="str">
        <x:v>能力体验权重（试验前约定）</x:v>
      </x:c>
      <x:c r="B26" s="2"/>
      <x:c r="C26" s="2"/>
      <x:c r="D26" s="2"/>
      <x:c r="E26" s="2"/>
      <x:c r="F26" s="2"/>
      <x:c r="G26" s="2"/>
      <x:c r="H26" s="2"/>
      <x:c r="I26" s="2"/>
      <x:c r="J26" s="2"/>
    </x:row>
    <x:row r="27" ht="2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</x:row>
    <x:row r="28" ht="40" customHeight="1">
      <x:c r="A28" s="2"/>
      <x:c r="B28" s="31" t="str">
        <x:v>需求理解</x:v>
      </x:c>
      <x:c r="C28" s="31" t="str">
        <x:v>仓库上下文</x:v>
      </x:c>
      <x:c r="D28" s="31" t="str">
        <x:v>方案与实现</x:v>
      </x:c>
      <x:c r="E28" s="31" t="str">
        <x:v>代码可维护性</x:v>
      </x:c>
      <x:c r="F28" s="31" t="str">
        <x:v>测试与修复</x:v>
      </x:c>
      <x:c r="G28" s="31" t="str">
        <x:v>自主执行</x:v>
      </x:c>
      <x:c r="H28" s="31" t="str">
        <x:v>交互可控性</x:v>
      </x:c>
      <x:c r="I28" s="31" t="str">
        <x:v>工程融入</x:v>
      </x:c>
      <x:c r="J28" s="2"/>
    </x:row>
    <x:row r="29" ht="25" customHeight="1">
      <x:c r="A29" s="2"/>
      <x:c r="B29" s="32" t="n">
        <x:v>0.15</x:v>
      </x:c>
      <x:c r="C29" s="32" t="n">
        <x:v>0.15</x:v>
      </x:c>
      <x:c r="D29" s="32" t="n">
        <x:v>0.2</x:v>
      </x:c>
      <x:c r="E29" s="32" t="n">
        <x:v>0.1</x:v>
      </x:c>
      <x:c r="F29" s="32" t="n">
        <x:v>0.15</x:v>
      </x:c>
      <x:c r="G29" s="32" t="n">
        <x:v>0.1</x:v>
      </x:c>
      <x:c r="H29" s="32" t="n">
        <x:v>0.1</x:v>
      </x:c>
      <x:c r="I29" s="32" t="n">
        <x:v>0.05</x:v>
      </x:c>
      <x:c r="J29" s="2"/>
    </x:row>
    <x:row r="30" ht="2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</x:row>
    <x:row r="31" ht="25" customHeight="1">
      <x:c r="A31" s="2" t="str">
        <x:v>权重合计</x:v>
      </x:c>
      <x:c r="B31" s="2"/>
      <x:c r="C31" s="35" t="n">
        <x:f>SUM(B29:I29)</x:f>
        <x:v>1</x:v>
      </x:c>
      <x:c r="D31" s="2"/>
      <x:c r="E31" s="2" t="str">
        <x:v>合计须为 100%。能力体验分不包含交付率、耗时和费用。</x:v>
      </x:c>
      <x:c r="F31" s="2"/>
      <x:c r="G31" s="2"/>
      <x:c r="H31" s="2"/>
      <x:c r="I31" s="2"/>
      <x:c r="J31" s="2"/>
    </x:row>
    <x:row r="32" ht="2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</x:row>
    <x:row r="33" ht="2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</x:row>
    <x:row r="34" ht="25" customHeight="1">
      <x:c r="A34" s="2" t="str">
        <x:v>建议安排：每个特性 3 轮。四名操作者轮换工具，随机且均衡安排顺序，记录每人使用熟练度。</x:v>
      </x:c>
      <x:c r="B34" s="2"/>
      <x:c r="C34" s="2"/>
      <x:c r="D34" s="2"/>
      <x:c r="E34" s="2"/>
      <x:c r="F34" s="2"/>
      <x:c r="G34" s="2"/>
      <x:c r="H34" s="2"/>
      <x:c r="I34" s="2"/>
      <x:c r="J34" s="2"/>
    </x:row>
    <x:row r="35" ht="25" customHeight="1">
      <x:c r="A35" s="2" t="str">
        <x:v>两条评测路径请分文件填写。中途更换模型、版本或权限配置，应新建批次，保留原批次。</x:v>
      </x:c>
      <x:c r="B35" s="2"/>
      <x:c r="C35" s="2"/>
      <x:c r="D35" s="2"/>
      <x:c r="E35" s="2"/>
      <x:c r="F35" s="2"/>
      <x:c r="G35" s="2"/>
      <x:c r="H35" s="2"/>
      <x:c r="I35" s="2"/>
      <x:c r="J35" s="2"/>
    </x:row>
  </x:sheetData>
  <x:conditionalFormatting sqref="C31:C31">
    <x:cfRule type="expression" dxfId="0" priority="1">
      <x:formula>ABS(C31-1)&gt;0.000001</x:formula>
    </x:cfRule>
  </x:conditionalFormatting>
  <x:dataValidations count="3">
    <x:dataValidation type="list" sqref="C11">
      <x:formula1>"受控基线,最佳实践"</x:formula1>
    </x:dataValidation>
    <x:dataValidation type="list" sqref="C12">
      <x:formula1>"按量实付,统一订阅分摊,不统计"</x:formula1>
    </x:dataValidation>
    <x:dataValidation type="decimal" operator="between" sqref="B29:I29">
      <x:formula1>0</x:formula1>
      <x:formula2>1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6" topLeftCell="E7" activePane="bottomRight" state="frozen"/>
    </x:sheetView>
  </x:sheetViews>
  <x:sheetFormatPr defaultRowHeight="15"/>
  <x:cols>
    <x:col min="1" max="1" width="15" hidden="0" customWidth="1"/>
    <x:col min="2" max="2" width="12" hidden="0" customWidth="1"/>
    <x:col min="3" max="3" width="10" hidden="0" customWidth="1"/>
    <x:col min="4" max="4" width="27" hidden="0" customWidth="1"/>
    <x:col min="5" max="5" width="14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6" hidden="0" customWidth="1"/>
    <x:col min="11" max="11" width="16" hidden="0" customWidth="1"/>
    <x:col min="12" max="12" width="16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27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34" customHeight="1">
      <x:c r="A2" s="4" t="str">
        <x:v>同特性同轮次比较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</x:row>
    <x:row r="3" ht="25" customHeight="1">
      <x:c r="A3" s="7" t="str">
        <x:v>一组 = 同一特性 × 同一轮次 × 四种工具。失败也能成为齐备记录，条件偏差必须另行复验。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 ht="46" customHeight="1">
      <x:c r="A6" s="22" t="str">
        <x:v>配对ID</x:v>
      </x:c>
      <x:c r="B6" s="23" t="str">
        <x:v>特性ID</x:v>
      </x:c>
      <x:c r="C6" s="23" t="str">
        <x:v>轮次</x:v>
      </x:c>
      <x:c r="D6" s="23" t="str">
        <x:v>特性名称</x:v>
      </x:c>
      <x:c r="E6" s="23" t="str">
        <x:v>计划内 0/1</x:v>
      </x:c>
      <x:c r="F6" s="23" t="str">
        <x:v>Claude Code 纳入数</x:v>
      </x:c>
      <x:c r="G6" s="23" t="str">
        <x:v>Codex 纳入数</x:v>
      </x:c>
      <x:c r="H6" s="23" t="str">
        <x:v>Trae 纳入数</x:v>
      </x:c>
      <x:c r="I6" s="23" t="str">
        <x:v>CodeArts 纳入数</x:v>
      </x:c>
      <x:c r="J6" s="23" t="str">
        <x:v>客观齐备 0/1</x:v>
      </x:c>
      <x:c r="K6" s="23" t="str">
        <x:v>评分齐备 0/1</x:v>
      </x:c>
      <x:c r="L6" s="23" t="str">
        <x:v>费用齐备 0/1</x:v>
      </x:c>
      <x:c r="M6" s="23" t="str">
        <x:v>Claude Code 体验分</x:v>
      </x:c>
      <x:c r="N6" s="23" t="str">
        <x:v>Codex 体验分</x:v>
      </x:c>
      <x:c r="O6" s="23" t="str">
        <x:v>Trae 体验分</x:v>
      </x:c>
      <x:c r="P6" s="23" t="str">
        <x:v>CodeArts 体验分</x:v>
      </x:c>
      <x:c r="Q6" s="23" t="str">
        <x:v>最高最低差（分）</x:v>
      </x:c>
      <x:c r="R6" s="24" t="str">
        <x:v>当前缺项</x:v>
      </x:c>
    </x:row>
    <x:row r="7" ht="25" customHeight="1">
      <x:c r="A7" s="13" t="str">
        <x:v>F01-R1</x:v>
      </x:c>
      <x:c r="B7" s="13" t="str">
        <x:v>F01</x:v>
      </x:c>
      <x:c r="C7" s="13" t="n">
        <x:v>1</x:v>
      </x:c>
      <x:c r="D7" s="13" t="str">
        <x:f>IF(INDEX('特性清单'!$B$7:$B$18,MATCH(B7,'特性清单'!$A$7:$A$18,0))="","",INDEX('特性清单'!$B$7:$B$18,MATCH(B7,'特性清单'!$A$7:$A$18,0)))</x:f>
      </x:c>
      <x:c r="E7" s="13" t="n">
        <x:f>IF(AND(D7&lt;&gt;"",C7&lt;=INDEX('特性清单'!$K$7:$K$18,MATCH(B7,'特性清单'!$A$7:$A$18,0))),1,0)</x:f>
        <x:v>0</x:v>
      </x:c>
      <x:c r="F7" s="13" t="n">
        <x:f>COUNTIFS('运行记录'!$B$7:$B$150,A7,'运行记录'!$E$7:$E$150,"Claude Code",'运行记录'!$AE$7:$AE$150,"纳入")</x:f>
        <x:v>0</x:v>
      </x:c>
      <x:c r="G7" s="13" t="n">
        <x:f>COUNTIFS('运行记录'!$B$7:$B$150,A7,'运行记录'!$E$7:$E$150,"Codex",'运行记录'!$AE$7:$AE$150,"纳入")</x:f>
        <x:v>0</x:v>
      </x:c>
      <x:c r="H7" s="13" t="n">
        <x:f>COUNTIFS('运行记录'!$B$7:$B$150,A7,'运行记录'!$E$7:$E$150,"Trae",'运行记录'!$AE$7:$AE$150,"纳入")</x:f>
        <x:v>0</x:v>
      </x:c>
      <x:c r="I7" s="13" t="n">
        <x:f>COUNTIFS('运行记录'!$B$7:$B$150,A7,'运行记录'!$E$7:$E$150,"CodeArts",'运行记录'!$AE$7:$AE$150,"纳入")</x:f>
        <x:v>0</x:v>
      </x:c>
      <x:c r="J7" s="13" t="n">
        <x:f>IF(AND(E7=1,F7=1,G7=1,H7=1,I7=1),1,0)</x:f>
        <x:v>0</x:v>
      </x:c>
      <x:c r="K7" s="13" t="n">
        <x:f>IF(AND(J7=1,COUNTIFS('能力评分'!$B$7:$B$150,A7,'能力评分'!$O$7:$O$150,"可比较")=4),1,0)</x:f>
        <x:v>0</x:v>
      </x:c>
      <x:c r="L7" s="13" t="n">
        <x:f>IF(AND(J7=1,'试点设置'!$C$12&lt;&gt;"不统计",COUNTIFS('运行记录'!$B$7:$B$150,A7,'运行记录'!$AE$7:$AE$150,"纳入",'运行记录'!$AJ$7:$AJ$150,1)=4),1,0)</x:f>
        <x:v>0</x:v>
      </x:c>
      <x:c r="M7" s="50" t="str">
        <x:f>IF(K7=1,SUMIFS('能力评分'!$N$7:$N$150,'能力评分'!$B$7:$B$150,A7,'能力评分'!$D$7:$D$150,"Claude Code"),"")</x:f>
      </x:c>
      <x:c r="N7" s="50" t="str">
        <x:f>IF(K7=1,SUMIFS('能力评分'!$N$7:$N$150,'能力评分'!$B$7:$B$150,A7,'能力评分'!$D$7:$D$150,"Codex"),"")</x:f>
      </x:c>
      <x:c r="O7" s="50" t="str">
        <x:f>IF(K7=1,SUMIFS('能力评分'!$N$7:$N$150,'能力评分'!$B$7:$B$150,A7,'能力评分'!$D$7:$D$150,"Trae"),"")</x:f>
      </x:c>
      <x:c r="P7" s="50" t="str">
        <x:f>IF(K7=1,SUMIFS('能力评分'!$N$7:$N$150,'能力评分'!$B$7:$B$150,A7,'能力评分'!$D$7:$D$150,"CodeArts"),"")</x:f>
      </x:c>
      <x:c r="Q7" s="50" t="str">
        <x:f>IF(K7=1,MAX(M7:P7)-MIN(M7:P7),"")</x:f>
      </x:c>
      <x:c r="R7" s="13" t="str">
        <x:f>IF(E7=0,"未启用",IF(J7=0,"缺客观记录或存在偏差",IF(K7=0,"缺评分或评分证据",IF(AND('试点设置'!$C$12&lt;&gt;"不统计",L7=0),"缺费用记录","齐备"))))</x:f>
        <x:v>未启用</x:v>
      </x:c>
    </x:row>
    <x:row r="8" ht="25" customHeight="1">
      <x:c r="A8" s="13" t="str">
        <x:v>F01-R2</x:v>
      </x:c>
      <x:c r="B8" s="13" t="str">
        <x:v>F01</x:v>
      </x:c>
      <x:c r="C8" s="13" t="n">
        <x:v>2</x:v>
      </x:c>
      <x:c r="D8" s="13" t="str">
        <x:f>IF(INDEX('特性清单'!$B$7:$B$18,MATCH(B8,'特性清单'!$A$7:$A$18,0))="","",INDEX('特性清单'!$B$7:$B$18,MATCH(B8,'特性清单'!$A$7:$A$18,0)))</x:f>
      </x:c>
      <x:c r="E8" s="13" t="n">
        <x:f>IF(AND(D8&lt;&gt;"",C8&lt;=INDEX('特性清单'!$K$7:$K$18,MATCH(B8,'特性清单'!$A$7:$A$18,0))),1,0)</x:f>
        <x:v>0</x:v>
      </x:c>
      <x:c r="F8" s="13" t="n">
        <x:f>COUNTIFS('运行记录'!$B$7:$B$150,A8,'运行记录'!$E$7:$E$150,"Claude Code",'运行记录'!$AE$7:$AE$150,"纳入")</x:f>
        <x:v>0</x:v>
      </x:c>
      <x:c r="G8" s="13" t="n">
        <x:f>COUNTIFS('运行记录'!$B$7:$B$150,A8,'运行记录'!$E$7:$E$150,"Codex",'运行记录'!$AE$7:$AE$150,"纳入")</x:f>
        <x:v>0</x:v>
      </x:c>
      <x:c r="H8" s="13" t="n">
        <x:f>COUNTIFS('运行记录'!$B$7:$B$150,A8,'运行记录'!$E$7:$E$150,"Trae",'运行记录'!$AE$7:$AE$150,"纳入")</x:f>
        <x:v>0</x:v>
      </x:c>
      <x:c r="I8" s="13" t="n">
        <x:f>COUNTIFS('运行记录'!$B$7:$B$150,A8,'运行记录'!$E$7:$E$150,"CodeArts",'运行记录'!$AE$7:$AE$150,"纳入")</x:f>
        <x:v>0</x:v>
      </x:c>
      <x:c r="J8" s="13" t="n">
        <x:f>IF(AND(E8=1,F8=1,G8=1,H8=1,I8=1),1,0)</x:f>
        <x:v>0</x:v>
      </x:c>
      <x:c r="K8" s="13" t="n">
        <x:f>IF(AND(J8=1,COUNTIFS('能力评分'!$B$7:$B$150,A8,'能力评分'!$O$7:$O$150,"可比较")=4),1,0)</x:f>
        <x:v>0</x:v>
      </x:c>
      <x:c r="L8" s="13" t="n">
        <x:f>IF(AND(J8=1,'试点设置'!$C$12&lt;&gt;"不统计",COUNTIFS('运行记录'!$B$7:$B$150,A8,'运行记录'!$AE$7:$AE$150,"纳入",'运行记录'!$AJ$7:$AJ$150,1)=4),1,0)</x:f>
        <x:v>0</x:v>
      </x:c>
      <x:c r="M8" s="50" t="str">
        <x:f>IF(K8=1,SUMIFS('能力评分'!$N$7:$N$150,'能力评分'!$B$7:$B$150,A8,'能力评分'!$D$7:$D$150,"Claude Code"),"")</x:f>
      </x:c>
      <x:c r="N8" s="50" t="str">
        <x:f>IF(K8=1,SUMIFS('能力评分'!$N$7:$N$150,'能力评分'!$B$7:$B$150,A8,'能力评分'!$D$7:$D$150,"Codex"),"")</x:f>
      </x:c>
      <x:c r="O8" s="50" t="str">
        <x:f>IF(K8=1,SUMIFS('能力评分'!$N$7:$N$150,'能力评分'!$B$7:$B$150,A8,'能力评分'!$D$7:$D$150,"Trae"),"")</x:f>
      </x:c>
      <x:c r="P8" s="50" t="str">
        <x:f>IF(K8=1,SUMIFS('能力评分'!$N$7:$N$150,'能力评分'!$B$7:$B$150,A8,'能力评分'!$D$7:$D$150,"CodeArts"),"")</x:f>
      </x:c>
      <x:c r="Q8" s="50" t="str">
        <x:f>IF(K8=1,MAX(M8:P8)-MIN(M8:P8),"")</x:f>
      </x:c>
      <x:c r="R8" s="13" t="str">
        <x:f>IF(E8=0,"未启用",IF(J8=0,"缺客观记录或存在偏差",IF(K8=0,"缺评分或评分证据",IF(AND('试点设置'!$C$12&lt;&gt;"不统计",L8=0),"缺费用记录","齐备"))))</x:f>
        <x:v>未启用</x:v>
      </x:c>
    </x:row>
    <x:row r="9" ht="25" customHeight="1">
      <x:c r="A9" s="13" t="str">
        <x:v>F01-R3</x:v>
      </x:c>
      <x:c r="B9" s="13" t="str">
        <x:v>F01</x:v>
      </x:c>
      <x:c r="C9" s="13" t="n">
        <x:v>3</x:v>
      </x:c>
      <x:c r="D9" s="13" t="str">
        <x:f>IF(INDEX('特性清单'!$B$7:$B$18,MATCH(B9,'特性清单'!$A$7:$A$18,0))="","",INDEX('特性清单'!$B$7:$B$18,MATCH(B9,'特性清单'!$A$7:$A$18,0)))</x:f>
      </x:c>
      <x:c r="E9" s="13" t="n">
        <x:f>IF(AND(D9&lt;&gt;"",C9&lt;=INDEX('特性清单'!$K$7:$K$18,MATCH(B9,'特性清单'!$A$7:$A$18,0))),1,0)</x:f>
        <x:v>0</x:v>
      </x:c>
      <x:c r="F9" s="13" t="n">
        <x:f>COUNTIFS('运行记录'!$B$7:$B$150,A9,'运行记录'!$E$7:$E$150,"Claude Code",'运行记录'!$AE$7:$AE$150,"纳入")</x:f>
        <x:v>0</x:v>
      </x:c>
      <x:c r="G9" s="13" t="n">
        <x:f>COUNTIFS('运行记录'!$B$7:$B$150,A9,'运行记录'!$E$7:$E$150,"Codex",'运行记录'!$AE$7:$AE$150,"纳入")</x:f>
        <x:v>0</x:v>
      </x:c>
      <x:c r="H9" s="13" t="n">
        <x:f>COUNTIFS('运行记录'!$B$7:$B$150,A9,'运行记录'!$E$7:$E$150,"Trae",'运行记录'!$AE$7:$AE$150,"纳入")</x:f>
        <x:v>0</x:v>
      </x:c>
      <x:c r="I9" s="13" t="n">
        <x:f>COUNTIFS('运行记录'!$B$7:$B$150,A9,'运行记录'!$E$7:$E$150,"CodeArts",'运行记录'!$AE$7:$AE$150,"纳入")</x:f>
        <x:v>0</x:v>
      </x:c>
      <x:c r="J9" s="13" t="n">
        <x:f>IF(AND(E9=1,F9=1,G9=1,H9=1,I9=1),1,0)</x:f>
        <x:v>0</x:v>
      </x:c>
      <x:c r="K9" s="13" t="n">
        <x:f>IF(AND(J9=1,COUNTIFS('能力评分'!$B$7:$B$150,A9,'能力评分'!$O$7:$O$150,"可比较")=4),1,0)</x:f>
        <x:v>0</x:v>
      </x:c>
      <x:c r="L9" s="13" t="n">
        <x:f>IF(AND(J9=1,'试点设置'!$C$12&lt;&gt;"不统计",COUNTIFS('运行记录'!$B$7:$B$150,A9,'运行记录'!$AE$7:$AE$150,"纳入",'运行记录'!$AJ$7:$AJ$150,1)=4),1,0)</x:f>
        <x:v>0</x:v>
      </x:c>
      <x:c r="M9" s="50" t="str">
        <x:f>IF(K9=1,SUMIFS('能力评分'!$N$7:$N$150,'能力评分'!$B$7:$B$150,A9,'能力评分'!$D$7:$D$150,"Claude Code"),"")</x:f>
      </x:c>
      <x:c r="N9" s="50" t="str">
        <x:f>IF(K9=1,SUMIFS('能力评分'!$N$7:$N$150,'能力评分'!$B$7:$B$150,A9,'能力评分'!$D$7:$D$150,"Codex"),"")</x:f>
      </x:c>
      <x:c r="O9" s="50" t="str">
        <x:f>IF(K9=1,SUMIFS('能力评分'!$N$7:$N$150,'能力评分'!$B$7:$B$150,A9,'能力评分'!$D$7:$D$150,"Trae"),"")</x:f>
      </x:c>
      <x:c r="P9" s="50" t="str">
        <x:f>IF(K9=1,SUMIFS('能力评分'!$N$7:$N$150,'能力评分'!$B$7:$B$150,A9,'能力评分'!$D$7:$D$150,"CodeArts"),"")</x:f>
      </x:c>
      <x:c r="Q9" s="50" t="str">
        <x:f>IF(K9=1,MAX(M9:P9)-MIN(M9:P9),"")</x:f>
      </x:c>
      <x:c r="R9" s="13" t="str">
        <x:f>IF(E9=0,"未启用",IF(J9=0,"缺客观记录或存在偏差",IF(K9=0,"缺评分或评分证据",IF(AND('试点设置'!$C$12&lt;&gt;"不统计",L9=0),"缺费用记录","齐备"))))</x:f>
        <x:v>未启用</x:v>
      </x:c>
    </x:row>
    <x:row r="10" ht="25" customHeight="1">
      <x:c r="A10" s="13" t="str">
        <x:v>F02-R1</x:v>
      </x:c>
      <x:c r="B10" s="13" t="str">
        <x:v>F02</x:v>
      </x:c>
      <x:c r="C10" s="13" t="n">
        <x:v>1</x:v>
      </x:c>
      <x:c r="D10" s="13" t="str">
        <x:f>IF(INDEX('特性清单'!$B$7:$B$18,MATCH(B10,'特性清单'!$A$7:$A$18,0))="","",INDEX('特性清单'!$B$7:$B$18,MATCH(B10,'特性清单'!$A$7:$A$18,0)))</x:f>
      </x:c>
      <x:c r="E10" s="13" t="n">
        <x:f>IF(AND(D10&lt;&gt;"",C10&lt;=INDEX('特性清单'!$K$7:$K$18,MATCH(B10,'特性清单'!$A$7:$A$18,0))),1,0)</x:f>
        <x:v>0</x:v>
      </x:c>
      <x:c r="F10" s="13" t="n">
        <x:f>COUNTIFS('运行记录'!$B$7:$B$150,A10,'运行记录'!$E$7:$E$150,"Claude Code",'运行记录'!$AE$7:$AE$150,"纳入")</x:f>
        <x:v>0</x:v>
      </x:c>
      <x:c r="G10" s="13" t="n">
        <x:f>COUNTIFS('运行记录'!$B$7:$B$150,A10,'运行记录'!$E$7:$E$150,"Codex",'运行记录'!$AE$7:$AE$150,"纳入")</x:f>
        <x:v>0</x:v>
      </x:c>
      <x:c r="H10" s="13" t="n">
        <x:f>COUNTIFS('运行记录'!$B$7:$B$150,A10,'运行记录'!$E$7:$E$150,"Trae",'运行记录'!$AE$7:$AE$150,"纳入")</x:f>
        <x:v>0</x:v>
      </x:c>
      <x:c r="I10" s="13" t="n">
        <x:f>COUNTIFS('运行记录'!$B$7:$B$150,A10,'运行记录'!$E$7:$E$150,"CodeArts",'运行记录'!$AE$7:$AE$150,"纳入")</x:f>
        <x:v>0</x:v>
      </x:c>
      <x:c r="J10" s="13" t="n">
        <x:f>IF(AND(E10=1,F10=1,G10=1,H10=1,I10=1),1,0)</x:f>
        <x:v>0</x:v>
      </x:c>
      <x:c r="K10" s="13" t="n">
        <x:f>IF(AND(J10=1,COUNTIFS('能力评分'!$B$7:$B$150,A10,'能力评分'!$O$7:$O$150,"可比较")=4),1,0)</x:f>
        <x:v>0</x:v>
      </x:c>
      <x:c r="L10" s="13" t="n">
        <x:f>IF(AND(J10=1,'试点设置'!$C$12&lt;&gt;"不统计",COUNTIFS('运行记录'!$B$7:$B$150,A10,'运行记录'!$AE$7:$AE$150,"纳入",'运行记录'!$AJ$7:$AJ$150,1)=4),1,0)</x:f>
        <x:v>0</x:v>
      </x:c>
      <x:c r="M10" s="50" t="str">
        <x:f>IF(K10=1,SUMIFS('能力评分'!$N$7:$N$150,'能力评分'!$B$7:$B$150,A10,'能力评分'!$D$7:$D$150,"Claude Code"),"")</x:f>
      </x:c>
      <x:c r="N10" s="50" t="str">
        <x:f>IF(K10=1,SUMIFS('能力评分'!$N$7:$N$150,'能力评分'!$B$7:$B$150,A10,'能力评分'!$D$7:$D$150,"Codex"),"")</x:f>
      </x:c>
      <x:c r="O10" s="50" t="str">
        <x:f>IF(K10=1,SUMIFS('能力评分'!$N$7:$N$150,'能力评分'!$B$7:$B$150,A10,'能力评分'!$D$7:$D$150,"Trae"),"")</x:f>
      </x:c>
      <x:c r="P10" s="50" t="str">
        <x:f>IF(K10=1,SUMIFS('能力评分'!$N$7:$N$150,'能力评分'!$B$7:$B$150,A10,'能力评分'!$D$7:$D$150,"CodeArts"),"")</x:f>
      </x:c>
      <x:c r="Q10" s="50" t="str">
        <x:f>IF(K10=1,MAX(M10:P10)-MIN(M10:P10),"")</x:f>
      </x:c>
      <x:c r="R10" s="13" t="str">
        <x:f>IF(E10=0,"未启用",IF(J10=0,"缺客观记录或存在偏差",IF(K10=0,"缺评分或评分证据",IF(AND('试点设置'!$C$12&lt;&gt;"不统计",L10=0),"缺费用记录","齐备"))))</x:f>
        <x:v>未启用</x:v>
      </x:c>
    </x:row>
    <x:row r="11" ht="25" customHeight="1">
      <x:c r="A11" s="13" t="str">
        <x:v>F02-R2</x:v>
      </x:c>
      <x:c r="B11" s="13" t="str">
        <x:v>F02</x:v>
      </x:c>
      <x:c r="C11" s="13" t="n">
        <x:v>2</x:v>
      </x:c>
      <x:c r="D11" s="13" t="str">
        <x:f>IF(INDEX('特性清单'!$B$7:$B$18,MATCH(B11,'特性清单'!$A$7:$A$18,0))="","",INDEX('特性清单'!$B$7:$B$18,MATCH(B11,'特性清单'!$A$7:$A$18,0)))</x:f>
      </x:c>
      <x:c r="E11" s="13" t="n">
        <x:f>IF(AND(D11&lt;&gt;"",C11&lt;=INDEX('特性清单'!$K$7:$K$18,MATCH(B11,'特性清单'!$A$7:$A$18,0))),1,0)</x:f>
        <x:v>0</x:v>
      </x:c>
      <x:c r="F11" s="13" t="n">
        <x:f>COUNTIFS('运行记录'!$B$7:$B$150,A11,'运行记录'!$E$7:$E$150,"Claude Code",'运行记录'!$AE$7:$AE$150,"纳入")</x:f>
        <x:v>0</x:v>
      </x:c>
      <x:c r="G11" s="13" t="n">
        <x:f>COUNTIFS('运行记录'!$B$7:$B$150,A11,'运行记录'!$E$7:$E$150,"Codex",'运行记录'!$AE$7:$AE$150,"纳入")</x:f>
        <x:v>0</x:v>
      </x:c>
      <x:c r="H11" s="13" t="n">
        <x:f>COUNTIFS('运行记录'!$B$7:$B$150,A11,'运行记录'!$E$7:$E$150,"Trae",'运行记录'!$AE$7:$AE$150,"纳入")</x:f>
        <x:v>0</x:v>
      </x:c>
      <x:c r="I11" s="13" t="n">
        <x:f>COUNTIFS('运行记录'!$B$7:$B$150,A11,'运行记录'!$E$7:$E$150,"CodeArts",'运行记录'!$AE$7:$AE$150,"纳入")</x:f>
        <x:v>0</x:v>
      </x:c>
      <x:c r="J11" s="13" t="n">
        <x:f>IF(AND(E11=1,F11=1,G11=1,H11=1,I11=1),1,0)</x:f>
        <x:v>0</x:v>
      </x:c>
      <x:c r="K11" s="13" t="n">
        <x:f>IF(AND(J11=1,COUNTIFS('能力评分'!$B$7:$B$150,A11,'能力评分'!$O$7:$O$150,"可比较")=4),1,0)</x:f>
        <x:v>0</x:v>
      </x:c>
      <x:c r="L11" s="13" t="n">
        <x:f>IF(AND(J11=1,'试点设置'!$C$12&lt;&gt;"不统计",COUNTIFS('运行记录'!$B$7:$B$150,A11,'运行记录'!$AE$7:$AE$150,"纳入",'运行记录'!$AJ$7:$AJ$150,1)=4),1,0)</x:f>
        <x:v>0</x:v>
      </x:c>
      <x:c r="M11" s="50" t="str">
        <x:f>IF(K11=1,SUMIFS('能力评分'!$N$7:$N$150,'能力评分'!$B$7:$B$150,A11,'能力评分'!$D$7:$D$150,"Claude Code"),"")</x:f>
      </x:c>
      <x:c r="N11" s="50" t="str">
        <x:f>IF(K11=1,SUMIFS('能力评分'!$N$7:$N$150,'能力评分'!$B$7:$B$150,A11,'能力评分'!$D$7:$D$150,"Codex"),"")</x:f>
      </x:c>
      <x:c r="O11" s="50" t="str">
        <x:f>IF(K11=1,SUMIFS('能力评分'!$N$7:$N$150,'能力评分'!$B$7:$B$150,A11,'能力评分'!$D$7:$D$150,"Trae"),"")</x:f>
      </x:c>
      <x:c r="P11" s="50" t="str">
        <x:f>IF(K11=1,SUMIFS('能力评分'!$N$7:$N$150,'能力评分'!$B$7:$B$150,A11,'能力评分'!$D$7:$D$150,"CodeArts"),"")</x:f>
      </x:c>
      <x:c r="Q11" s="50" t="str">
        <x:f>IF(K11=1,MAX(M11:P11)-MIN(M11:P11),"")</x:f>
      </x:c>
      <x:c r="R11" s="13" t="str">
        <x:f>IF(E11=0,"未启用",IF(J11=0,"缺客观记录或存在偏差",IF(K11=0,"缺评分或评分证据",IF(AND('试点设置'!$C$12&lt;&gt;"不统计",L11=0),"缺费用记录","齐备"))))</x:f>
        <x:v>未启用</x:v>
      </x:c>
    </x:row>
    <x:row r="12" ht="25" customHeight="1">
      <x:c r="A12" s="13" t="str">
        <x:v>F02-R3</x:v>
      </x:c>
      <x:c r="B12" s="13" t="str">
        <x:v>F02</x:v>
      </x:c>
      <x:c r="C12" s="13" t="n">
        <x:v>3</x:v>
      </x:c>
      <x:c r="D12" s="13" t="str">
        <x:f>IF(INDEX('特性清单'!$B$7:$B$18,MATCH(B12,'特性清单'!$A$7:$A$18,0))="","",INDEX('特性清单'!$B$7:$B$18,MATCH(B12,'特性清单'!$A$7:$A$18,0)))</x:f>
      </x:c>
      <x:c r="E12" s="13" t="n">
        <x:f>IF(AND(D12&lt;&gt;"",C12&lt;=INDEX('特性清单'!$K$7:$K$18,MATCH(B12,'特性清单'!$A$7:$A$18,0))),1,0)</x:f>
        <x:v>0</x:v>
      </x:c>
      <x:c r="F12" s="13" t="n">
        <x:f>COUNTIFS('运行记录'!$B$7:$B$150,A12,'运行记录'!$E$7:$E$150,"Claude Code",'运行记录'!$AE$7:$AE$150,"纳入")</x:f>
        <x:v>0</x:v>
      </x:c>
      <x:c r="G12" s="13" t="n">
        <x:f>COUNTIFS('运行记录'!$B$7:$B$150,A12,'运行记录'!$E$7:$E$150,"Codex",'运行记录'!$AE$7:$AE$150,"纳入")</x:f>
        <x:v>0</x:v>
      </x:c>
      <x:c r="H12" s="13" t="n">
        <x:f>COUNTIFS('运行记录'!$B$7:$B$150,A12,'运行记录'!$E$7:$E$150,"Trae",'运行记录'!$AE$7:$AE$150,"纳入")</x:f>
        <x:v>0</x:v>
      </x:c>
      <x:c r="I12" s="13" t="n">
        <x:f>COUNTIFS('运行记录'!$B$7:$B$150,A12,'运行记录'!$E$7:$E$150,"CodeArts",'运行记录'!$AE$7:$AE$150,"纳入")</x:f>
        <x:v>0</x:v>
      </x:c>
      <x:c r="J12" s="13" t="n">
        <x:f>IF(AND(E12=1,F12=1,G12=1,H12=1,I12=1),1,0)</x:f>
        <x:v>0</x:v>
      </x:c>
      <x:c r="K12" s="13" t="n">
        <x:f>IF(AND(J12=1,COUNTIFS('能力评分'!$B$7:$B$150,A12,'能力评分'!$O$7:$O$150,"可比较")=4),1,0)</x:f>
        <x:v>0</x:v>
      </x:c>
      <x:c r="L12" s="13" t="n">
        <x:f>IF(AND(J12=1,'试点设置'!$C$12&lt;&gt;"不统计",COUNTIFS('运行记录'!$B$7:$B$150,A12,'运行记录'!$AE$7:$AE$150,"纳入",'运行记录'!$AJ$7:$AJ$150,1)=4),1,0)</x:f>
        <x:v>0</x:v>
      </x:c>
      <x:c r="M12" s="50" t="str">
        <x:f>IF(K12=1,SUMIFS('能力评分'!$N$7:$N$150,'能力评分'!$B$7:$B$150,A12,'能力评分'!$D$7:$D$150,"Claude Code"),"")</x:f>
      </x:c>
      <x:c r="N12" s="50" t="str">
        <x:f>IF(K12=1,SUMIFS('能力评分'!$N$7:$N$150,'能力评分'!$B$7:$B$150,A12,'能力评分'!$D$7:$D$150,"Codex"),"")</x:f>
      </x:c>
      <x:c r="O12" s="50" t="str">
        <x:f>IF(K12=1,SUMIFS('能力评分'!$N$7:$N$150,'能力评分'!$B$7:$B$150,A12,'能力评分'!$D$7:$D$150,"Trae"),"")</x:f>
      </x:c>
      <x:c r="P12" s="50" t="str">
        <x:f>IF(K12=1,SUMIFS('能力评分'!$N$7:$N$150,'能力评分'!$B$7:$B$150,A12,'能力评分'!$D$7:$D$150,"CodeArts"),"")</x:f>
      </x:c>
      <x:c r="Q12" s="50" t="str">
        <x:f>IF(K12=1,MAX(M12:P12)-MIN(M12:P12),"")</x:f>
      </x:c>
      <x:c r="R12" s="13" t="str">
        <x:f>IF(E12=0,"未启用",IF(J12=0,"缺客观记录或存在偏差",IF(K12=0,"缺评分或评分证据",IF(AND('试点设置'!$C$12&lt;&gt;"不统计",L12=0),"缺费用记录","齐备"))))</x:f>
        <x:v>未启用</x:v>
      </x:c>
    </x:row>
    <x:row r="13" ht="25" customHeight="1">
      <x:c r="A13" s="13" t="str">
        <x:v>F03-R1</x:v>
      </x:c>
      <x:c r="B13" s="13" t="str">
        <x:v>F03</x:v>
      </x:c>
      <x:c r="C13" s="13" t="n">
        <x:v>1</x:v>
      </x:c>
      <x:c r="D13" s="13" t="str">
        <x:f>IF(INDEX('特性清单'!$B$7:$B$18,MATCH(B13,'特性清单'!$A$7:$A$18,0))="","",INDEX('特性清单'!$B$7:$B$18,MATCH(B13,'特性清单'!$A$7:$A$18,0)))</x:f>
      </x:c>
      <x:c r="E13" s="13" t="n">
        <x:f>IF(AND(D13&lt;&gt;"",C13&lt;=INDEX('特性清单'!$K$7:$K$18,MATCH(B13,'特性清单'!$A$7:$A$18,0))),1,0)</x:f>
        <x:v>0</x:v>
      </x:c>
      <x:c r="F13" s="13" t="n">
        <x:f>COUNTIFS('运行记录'!$B$7:$B$150,A13,'运行记录'!$E$7:$E$150,"Claude Code",'运行记录'!$AE$7:$AE$150,"纳入")</x:f>
        <x:v>0</x:v>
      </x:c>
      <x:c r="G13" s="13" t="n">
        <x:f>COUNTIFS('运行记录'!$B$7:$B$150,A13,'运行记录'!$E$7:$E$150,"Codex",'运行记录'!$AE$7:$AE$150,"纳入")</x:f>
        <x:v>0</x:v>
      </x:c>
      <x:c r="H13" s="13" t="n">
        <x:f>COUNTIFS('运行记录'!$B$7:$B$150,A13,'运行记录'!$E$7:$E$150,"Trae",'运行记录'!$AE$7:$AE$150,"纳入")</x:f>
        <x:v>0</x:v>
      </x:c>
      <x:c r="I13" s="13" t="n">
        <x:f>COUNTIFS('运行记录'!$B$7:$B$150,A13,'运行记录'!$E$7:$E$150,"CodeArts",'运行记录'!$AE$7:$AE$150,"纳入")</x:f>
        <x:v>0</x:v>
      </x:c>
      <x:c r="J13" s="13" t="n">
        <x:f>IF(AND(E13=1,F13=1,G13=1,H13=1,I13=1),1,0)</x:f>
        <x:v>0</x:v>
      </x:c>
      <x:c r="K13" s="13" t="n">
        <x:f>IF(AND(J13=1,COUNTIFS('能力评分'!$B$7:$B$150,A13,'能力评分'!$O$7:$O$150,"可比较")=4),1,0)</x:f>
        <x:v>0</x:v>
      </x:c>
      <x:c r="L13" s="13" t="n">
        <x:f>IF(AND(J13=1,'试点设置'!$C$12&lt;&gt;"不统计",COUNTIFS('运行记录'!$B$7:$B$150,A13,'运行记录'!$AE$7:$AE$150,"纳入",'运行记录'!$AJ$7:$AJ$150,1)=4),1,0)</x:f>
        <x:v>0</x:v>
      </x:c>
      <x:c r="M13" s="50" t="str">
        <x:f>IF(K13=1,SUMIFS('能力评分'!$N$7:$N$150,'能力评分'!$B$7:$B$150,A13,'能力评分'!$D$7:$D$150,"Claude Code"),"")</x:f>
      </x:c>
      <x:c r="N13" s="50" t="str">
        <x:f>IF(K13=1,SUMIFS('能力评分'!$N$7:$N$150,'能力评分'!$B$7:$B$150,A13,'能力评分'!$D$7:$D$150,"Codex"),"")</x:f>
      </x:c>
      <x:c r="O13" s="50" t="str">
        <x:f>IF(K13=1,SUMIFS('能力评分'!$N$7:$N$150,'能力评分'!$B$7:$B$150,A13,'能力评分'!$D$7:$D$150,"Trae"),"")</x:f>
      </x:c>
      <x:c r="P13" s="50" t="str">
        <x:f>IF(K13=1,SUMIFS('能力评分'!$N$7:$N$150,'能力评分'!$B$7:$B$150,A13,'能力评分'!$D$7:$D$150,"CodeArts"),"")</x:f>
      </x:c>
      <x:c r="Q13" s="50" t="str">
        <x:f>IF(K13=1,MAX(M13:P13)-MIN(M13:P13),"")</x:f>
      </x:c>
      <x:c r="R13" s="13" t="str">
        <x:f>IF(E13=0,"未启用",IF(J13=0,"缺客观记录或存在偏差",IF(K13=0,"缺评分或评分证据",IF(AND('试点设置'!$C$12&lt;&gt;"不统计",L13=0),"缺费用记录","齐备"))))</x:f>
        <x:v>未启用</x:v>
      </x:c>
    </x:row>
    <x:row r="14" ht="25" customHeight="1">
      <x:c r="A14" s="13" t="str">
        <x:v>F03-R2</x:v>
      </x:c>
      <x:c r="B14" s="13" t="str">
        <x:v>F03</x:v>
      </x:c>
      <x:c r="C14" s="13" t="n">
        <x:v>2</x:v>
      </x:c>
      <x:c r="D14" s="13" t="str">
        <x:f>IF(INDEX('特性清单'!$B$7:$B$18,MATCH(B14,'特性清单'!$A$7:$A$18,0))="","",INDEX('特性清单'!$B$7:$B$18,MATCH(B14,'特性清单'!$A$7:$A$18,0)))</x:f>
      </x:c>
      <x:c r="E14" s="13" t="n">
        <x:f>IF(AND(D14&lt;&gt;"",C14&lt;=INDEX('特性清单'!$K$7:$K$18,MATCH(B14,'特性清单'!$A$7:$A$18,0))),1,0)</x:f>
        <x:v>0</x:v>
      </x:c>
      <x:c r="F14" s="13" t="n">
        <x:f>COUNTIFS('运行记录'!$B$7:$B$150,A14,'运行记录'!$E$7:$E$150,"Claude Code",'运行记录'!$AE$7:$AE$150,"纳入")</x:f>
        <x:v>0</x:v>
      </x:c>
      <x:c r="G14" s="13" t="n">
        <x:f>COUNTIFS('运行记录'!$B$7:$B$150,A14,'运行记录'!$E$7:$E$150,"Codex",'运行记录'!$AE$7:$AE$150,"纳入")</x:f>
        <x:v>0</x:v>
      </x:c>
      <x:c r="H14" s="13" t="n">
        <x:f>COUNTIFS('运行记录'!$B$7:$B$150,A14,'运行记录'!$E$7:$E$150,"Trae",'运行记录'!$AE$7:$AE$150,"纳入")</x:f>
        <x:v>0</x:v>
      </x:c>
      <x:c r="I14" s="13" t="n">
        <x:f>COUNTIFS('运行记录'!$B$7:$B$150,A14,'运行记录'!$E$7:$E$150,"CodeArts",'运行记录'!$AE$7:$AE$150,"纳入")</x:f>
        <x:v>0</x:v>
      </x:c>
      <x:c r="J14" s="13" t="n">
        <x:f>IF(AND(E14=1,F14=1,G14=1,H14=1,I14=1),1,0)</x:f>
        <x:v>0</x:v>
      </x:c>
      <x:c r="K14" s="13" t="n">
        <x:f>IF(AND(J14=1,COUNTIFS('能力评分'!$B$7:$B$150,A14,'能力评分'!$O$7:$O$150,"可比较")=4),1,0)</x:f>
        <x:v>0</x:v>
      </x:c>
      <x:c r="L14" s="13" t="n">
        <x:f>IF(AND(J14=1,'试点设置'!$C$12&lt;&gt;"不统计",COUNTIFS('运行记录'!$B$7:$B$150,A14,'运行记录'!$AE$7:$AE$150,"纳入",'运行记录'!$AJ$7:$AJ$150,1)=4),1,0)</x:f>
        <x:v>0</x:v>
      </x:c>
      <x:c r="M14" s="50" t="str">
        <x:f>IF(K14=1,SUMIFS('能力评分'!$N$7:$N$150,'能力评分'!$B$7:$B$150,A14,'能力评分'!$D$7:$D$150,"Claude Code"),"")</x:f>
      </x:c>
      <x:c r="N14" s="50" t="str">
        <x:f>IF(K14=1,SUMIFS('能力评分'!$N$7:$N$150,'能力评分'!$B$7:$B$150,A14,'能力评分'!$D$7:$D$150,"Codex"),"")</x:f>
      </x:c>
      <x:c r="O14" s="50" t="str">
        <x:f>IF(K14=1,SUMIFS('能力评分'!$N$7:$N$150,'能力评分'!$B$7:$B$150,A14,'能力评分'!$D$7:$D$150,"Trae"),"")</x:f>
      </x:c>
      <x:c r="P14" s="50" t="str">
        <x:f>IF(K14=1,SUMIFS('能力评分'!$N$7:$N$150,'能力评分'!$B$7:$B$150,A14,'能力评分'!$D$7:$D$150,"CodeArts"),"")</x:f>
      </x:c>
      <x:c r="Q14" s="50" t="str">
        <x:f>IF(K14=1,MAX(M14:P14)-MIN(M14:P14),"")</x:f>
      </x:c>
      <x:c r="R14" s="13" t="str">
        <x:f>IF(E14=0,"未启用",IF(J14=0,"缺客观记录或存在偏差",IF(K14=0,"缺评分或评分证据",IF(AND('试点设置'!$C$12&lt;&gt;"不统计",L14=0),"缺费用记录","齐备"))))</x:f>
        <x:v>未启用</x:v>
      </x:c>
    </x:row>
    <x:row r="15" ht="25" customHeight="1">
      <x:c r="A15" s="13" t="str">
        <x:v>F03-R3</x:v>
      </x:c>
      <x:c r="B15" s="13" t="str">
        <x:v>F03</x:v>
      </x:c>
      <x:c r="C15" s="13" t="n">
        <x:v>3</x:v>
      </x:c>
      <x:c r="D15" s="13" t="str">
        <x:f>IF(INDEX('特性清单'!$B$7:$B$18,MATCH(B15,'特性清单'!$A$7:$A$18,0))="","",INDEX('特性清单'!$B$7:$B$18,MATCH(B15,'特性清单'!$A$7:$A$18,0)))</x:f>
      </x:c>
      <x:c r="E15" s="13" t="n">
        <x:f>IF(AND(D15&lt;&gt;"",C15&lt;=INDEX('特性清单'!$K$7:$K$18,MATCH(B15,'特性清单'!$A$7:$A$18,0))),1,0)</x:f>
        <x:v>0</x:v>
      </x:c>
      <x:c r="F15" s="13" t="n">
        <x:f>COUNTIFS('运行记录'!$B$7:$B$150,A15,'运行记录'!$E$7:$E$150,"Claude Code",'运行记录'!$AE$7:$AE$150,"纳入")</x:f>
        <x:v>0</x:v>
      </x:c>
      <x:c r="G15" s="13" t="n">
        <x:f>COUNTIFS('运行记录'!$B$7:$B$150,A15,'运行记录'!$E$7:$E$150,"Codex",'运行记录'!$AE$7:$AE$150,"纳入")</x:f>
        <x:v>0</x:v>
      </x:c>
      <x:c r="H15" s="13" t="n">
        <x:f>COUNTIFS('运行记录'!$B$7:$B$150,A15,'运行记录'!$E$7:$E$150,"Trae",'运行记录'!$AE$7:$AE$150,"纳入")</x:f>
        <x:v>0</x:v>
      </x:c>
      <x:c r="I15" s="13" t="n">
        <x:f>COUNTIFS('运行记录'!$B$7:$B$150,A15,'运行记录'!$E$7:$E$150,"CodeArts",'运行记录'!$AE$7:$AE$150,"纳入")</x:f>
        <x:v>0</x:v>
      </x:c>
      <x:c r="J15" s="13" t="n">
        <x:f>IF(AND(E15=1,F15=1,G15=1,H15=1,I15=1),1,0)</x:f>
        <x:v>0</x:v>
      </x:c>
      <x:c r="K15" s="13" t="n">
        <x:f>IF(AND(J15=1,COUNTIFS('能力评分'!$B$7:$B$150,A15,'能力评分'!$O$7:$O$150,"可比较")=4),1,0)</x:f>
        <x:v>0</x:v>
      </x:c>
      <x:c r="L15" s="13" t="n">
        <x:f>IF(AND(J15=1,'试点设置'!$C$12&lt;&gt;"不统计",COUNTIFS('运行记录'!$B$7:$B$150,A15,'运行记录'!$AE$7:$AE$150,"纳入",'运行记录'!$AJ$7:$AJ$150,1)=4),1,0)</x:f>
        <x:v>0</x:v>
      </x:c>
      <x:c r="M15" s="50" t="str">
        <x:f>IF(K15=1,SUMIFS('能力评分'!$N$7:$N$150,'能力评分'!$B$7:$B$150,A15,'能力评分'!$D$7:$D$150,"Claude Code"),"")</x:f>
      </x:c>
      <x:c r="N15" s="50" t="str">
        <x:f>IF(K15=1,SUMIFS('能力评分'!$N$7:$N$150,'能力评分'!$B$7:$B$150,A15,'能力评分'!$D$7:$D$150,"Codex"),"")</x:f>
      </x:c>
      <x:c r="O15" s="50" t="str">
        <x:f>IF(K15=1,SUMIFS('能力评分'!$N$7:$N$150,'能力评分'!$B$7:$B$150,A15,'能力评分'!$D$7:$D$150,"Trae"),"")</x:f>
      </x:c>
      <x:c r="P15" s="50" t="str">
        <x:f>IF(K15=1,SUMIFS('能力评分'!$N$7:$N$150,'能力评分'!$B$7:$B$150,A15,'能力评分'!$D$7:$D$150,"CodeArts"),"")</x:f>
      </x:c>
      <x:c r="Q15" s="50" t="str">
        <x:f>IF(K15=1,MAX(M15:P15)-MIN(M15:P15),"")</x:f>
      </x:c>
      <x:c r="R15" s="13" t="str">
        <x:f>IF(E15=0,"未启用",IF(J15=0,"缺客观记录或存在偏差",IF(K15=0,"缺评分或评分证据",IF(AND('试点设置'!$C$12&lt;&gt;"不统计",L15=0),"缺费用记录","齐备"))))</x:f>
        <x:v>未启用</x:v>
      </x:c>
    </x:row>
    <x:row r="16" ht="25" customHeight="1">
      <x:c r="A16" s="13" t="str">
        <x:v>F04-R1</x:v>
      </x:c>
      <x:c r="B16" s="13" t="str">
        <x:v>F04</x:v>
      </x:c>
      <x:c r="C16" s="13" t="n">
        <x:v>1</x:v>
      </x:c>
      <x:c r="D16" s="13" t="str">
        <x:f>IF(INDEX('特性清单'!$B$7:$B$18,MATCH(B16,'特性清单'!$A$7:$A$18,0))="","",INDEX('特性清单'!$B$7:$B$18,MATCH(B16,'特性清单'!$A$7:$A$18,0)))</x:f>
      </x:c>
      <x:c r="E16" s="13" t="n">
        <x:f>IF(AND(D16&lt;&gt;"",C16&lt;=INDEX('特性清单'!$K$7:$K$18,MATCH(B16,'特性清单'!$A$7:$A$18,0))),1,0)</x:f>
        <x:v>0</x:v>
      </x:c>
      <x:c r="F16" s="13" t="n">
        <x:f>COUNTIFS('运行记录'!$B$7:$B$150,A16,'运行记录'!$E$7:$E$150,"Claude Code",'运行记录'!$AE$7:$AE$150,"纳入")</x:f>
        <x:v>0</x:v>
      </x:c>
      <x:c r="G16" s="13" t="n">
        <x:f>COUNTIFS('运行记录'!$B$7:$B$150,A16,'运行记录'!$E$7:$E$150,"Codex",'运行记录'!$AE$7:$AE$150,"纳入")</x:f>
        <x:v>0</x:v>
      </x:c>
      <x:c r="H16" s="13" t="n">
        <x:f>COUNTIFS('运行记录'!$B$7:$B$150,A16,'运行记录'!$E$7:$E$150,"Trae",'运行记录'!$AE$7:$AE$150,"纳入")</x:f>
        <x:v>0</x:v>
      </x:c>
      <x:c r="I16" s="13" t="n">
        <x:f>COUNTIFS('运行记录'!$B$7:$B$150,A16,'运行记录'!$E$7:$E$150,"CodeArts",'运行记录'!$AE$7:$AE$150,"纳入")</x:f>
        <x:v>0</x:v>
      </x:c>
      <x:c r="J16" s="13" t="n">
        <x:f>IF(AND(E16=1,F16=1,G16=1,H16=1,I16=1),1,0)</x:f>
        <x:v>0</x:v>
      </x:c>
      <x:c r="K16" s="13" t="n">
        <x:f>IF(AND(J16=1,COUNTIFS('能力评分'!$B$7:$B$150,A16,'能力评分'!$O$7:$O$150,"可比较")=4),1,0)</x:f>
        <x:v>0</x:v>
      </x:c>
      <x:c r="L16" s="13" t="n">
        <x:f>IF(AND(J16=1,'试点设置'!$C$12&lt;&gt;"不统计",COUNTIFS('运行记录'!$B$7:$B$150,A16,'运行记录'!$AE$7:$AE$150,"纳入",'运行记录'!$AJ$7:$AJ$150,1)=4),1,0)</x:f>
        <x:v>0</x:v>
      </x:c>
      <x:c r="M16" s="50" t="str">
        <x:f>IF(K16=1,SUMIFS('能力评分'!$N$7:$N$150,'能力评分'!$B$7:$B$150,A16,'能力评分'!$D$7:$D$150,"Claude Code"),"")</x:f>
      </x:c>
      <x:c r="N16" s="50" t="str">
        <x:f>IF(K16=1,SUMIFS('能力评分'!$N$7:$N$150,'能力评分'!$B$7:$B$150,A16,'能力评分'!$D$7:$D$150,"Codex"),"")</x:f>
      </x:c>
      <x:c r="O16" s="50" t="str">
        <x:f>IF(K16=1,SUMIFS('能力评分'!$N$7:$N$150,'能力评分'!$B$7:$B$150,A16,'能力评分'!$D$7:$D$150,"Trae"),"")</x:f>
      </x:c>
      <x:c r="P16" s="50" t="str">
        <x:f>IF(K16=1,SUMIFS('能力评分'!$N$7:$N$150,'能力评分'!$B$7:$B$150,A16,'能力评分'!$D$7:$D$150,"CodeArts"),"")</x:f>
      </x:c>
      <x:c r="Q16" s="50" t="str">
        <x:f>IF(K16=1,MAX(M16:P16)-MIN(M16:P16),"")</x:f>
      </x:c>
      <x:c r="R16" s="13" t="str">
        <x:f>IF(E16=0,"未启用",IF(J16=0,"缺客观记录或存在偏差",IF(K16=0,"缺评分或评分证据",IF(AND('试点设置'!$C$12&lt;&gt;"不统计",L16=0),"缺费用记录","齐备"))))</x:f>
        <x:v>未启用</x:v>
      </x:c>
    </x:row>
    <x:row r="17" ht="25" customHeight="1">
      <x:c r="A17" s="13" t="str">
        <x:v>F04-R2</x:v>
      </x:c>
      <x:c r="B17" s="13" t="str">
        <x:v>F04</x:v>
      </x:c>
      <x:c r="C17" s="13" t="n">
        <x:v>2</x:v>
      </x:c>
      <x:c r="D17" s="13" t="str">
        <x:f>IF(INDEX('特性清单'!$B$7:$B$18,MATCH(B17,'特性清单'!$A$7:$A$18,0))="","",INDEX('特性清单'!$B$7:$B$18,MATCH(B17,'特性清单'!$A$7:$A$18,0)))</x:f>
      </x:c>
      <x:c r="E17" s="13" t="n">
        <x:f>IF(AND(D17&lt;&gt;"",C17&lt;=INDEX('特性清单'!$K$7:$K$18,MATCH(B17,'特性清单'!$A$7:$A$18,0))),1,0)</x:f>
        <x:v>0</x:v>
      </x:c>
      <x:c r="F17" s="13" t="n">
        <x:f>COUNTIFS('运行记录'!$B$7:$B$150,A17,'运行记录'!$E$7:$E$150,"Claude Code",'运行记录'!$AE$7:$AE$150,"纳入")</x:f>
        <x:v>0</x:v>
      </x:c>
      <x:c r="G17" s="13" t="n">
        <x:f>COUNTIFS('运行记录'!$B$7:$B$150,A17,'运行记录'!$E$7:$E$150,"Codex",'运行记录'!$AE$7:$AE$150,"纳入")</x:f>
        <x:v>0</x:v>
      </x:c>
      <x:c r="H17" s="13" t="n">
        <x:f>COUNTIFS('运行记录'!$B$7:$B$150,A17,'运行记录'!$E$7:$E$150,"Trae",'运行记录'!$AE$7:$AE$150,"纳入")</x:f>
        <x:v>0</x:v>
      </x:c>
      <x:c r="I17" s="13" t="n">
        <x:f>COUNTIFS('运行记录'!$B$7:$B$150,A17,'运行记录'!$E$7:$E$150,"CodeArts",'运行记录'!$AE$7:$AE$150,"纳入")</x:f>
        <x:v>0</x:v>
      </x:c>
      <x:c r="J17" s="13" t="n">
        <x:f>IF(AND(E17=1,F17=1,G17=1,H17=1,I17=1),1,0)</x:f>
        <x:v>0</x:v>
      </x:c>
      <x:c r="K17" s="13" t="n">
        <x:f>IF(AND(J17=1,COUNTIFS('能力评分'!$B$7:$B$150,A17,'能力评分'!$O$7:$O$150,"可比较")=4),1,0)</x:f>
        <x:v>0</x:v>
      </x:c>
      <x:c r="L17" s="13" t="n">
        <x:f>IF(AND(J17=1,'试点设置'!$C$12&lt;&gt;"不统计",COUNTIFS('运行记录'!$B$7:$B$150,A17,'运行记录'!$AE$7:$AE$150,"纳入",'运行记录'!$AJ$7:$AJ$150,1)=4),1,0)</x:f>
        <x:v>0</x:v>
      </x:c>
      <x:c r="M17" s="50" t="str">
        <x:f>IF(K17=1,SUMIFS('能力评分'!$N$7:$N$150,'能力评分'!$B$7:$B$150,A17,'能力评分'!$D$7:$D$150,"Claude Code"),"")</x:f>
      </x:c>
      <x:c r="N17" s="50" t="str">
        <x:f>IF(K17=1,SUMIFS('能力评分'!$N$7:$N$150,'能力评分'!$B$7:$B$150,A17,'能力评分'!$D$7:$D$150,"Codex"),"")</x:f>
      </x:c>
      <x:c r="O17" s="50" t="str">
        <x:f>IF(K17=1,SUMIFS('能力评分'!$N$7:$N$150,'能力评分'!$B$7:$B$150,A17,'能力评分'!$D$7:$D$150,"Trae"),"")</x:f>
      </x:c>
      <x:c r="P17" s="50" t="str">
        <x:f>IF(K17=1,SUMIFS('能力评分'!$N$7:$N$150,'能力评分'!$B$7:$B$150,A17,'能力评分'!$D$7:$D$150,"CodeArts"),"")</x:f>
      </x:c>
      <x:c r="Q17" s="50" t="str">
        <x:f>IF(K17=1,MAX(M17:P17)-MIN(M17:P17),"")</x:f>
      </x:c>
      <x:c r="R17" s="13" t="str">
        <x:f>IF(E17=0,"未启用",IF(J17=0,"缺客观记录或存在偏差",IF(K17=0,"缺评分或评分证据",IF(AND('试点设置'!$C$12&lt;&gt;"不统计",L17=0),"缺费用记录","齐备"))))</x:f>
        <x:v>未启用</x:v>
      </x:c>
    </x:row>
    <x:row r="18" ht="25" customHeight="1">
      <x:c r="A18" s="13" t="str">
        <x:v>F04-R3</x:v>
      </x:c>
      <x:c r="B18" s="13" t="str">
        <x:v>F04</x:v>
      </x:c>
      <x:c r="C18" s="13" t="n">
        <x:v>3</x:v>
      </x:c>
      <x:c r="D18" s="13" t="str">
        <x:f>IF(INDEX('特性清单'!$B$7:$B$18,MATCH(B18,'特性清单'!$A$7:$A$18,0))="","",INDEX('特性清单'!$B$7:$B$18,MATCH(B18,'特性清单'!$A$7:$A$18,0)))</x:f>
      </x:c>
      <x:c r="E18" s="13" t="n">
        <x:f>IF(AND(D18&lt;&gt;"",C18&lt;=INDEX('特性清单'!$K$7:$K$18,MATCH(B18,'特性清单'!$A$7:$A$18,0))),1,0)</x:f>
        <x:v>0</x:v>
      </x:c>
      <x:c r="F18" s="13" t="n">
        <x:f>COUNTIFS('运行记录'!$B$7:$B$150,A18,'运行记录'!$E$7:$E$150,"Claude Code",'运行记录'!$AE$7:$AE$150,"纳入")</x:f>
        <x:v>0</x:v>
      </x:c>
      <x:c r="G18" s="13" t="n">
        <x:f>COUNTIFS('运行记录'!$B$7:$B$150,A18,'运行记录'!$E$7:$E$150,"Codex",'运行记录'!$AE$7:$AE$150,"纳入")</x:f>
        <x:v>0</x:v>
      </x:c>
      <x:c r="H18" s="13" t="n">
        <x:f>COUNTIFS('运行记录'!$B$7:$B$150,A18,'运行记录'!$E$7:$E$150,"Trae",'运行记录'!$AE$7:$AE$150,"纳入")</x:f>
        <x:v>0</x:v>
      </x:c>
      <x:c r="I18" s="13" t="n">
        <x:f>COUNTIFS('运行记录'!$B$7:$B$150,A18,'运行记录'!$E$7:$E$150,"CodeArts",'运行记录'!$AE$7:$AE$150,"纳入")</x:f>
        <x:v>0</x:v>
      </x:c>
      <x:c r="J18" s="13" t="n">
        <x:f>IF(AND(E18=1,F18=1,G18=1,H18=1,I18=1),1,0)</x:f>
        <x:v>0</x:v>
      </x:c>
      <x:c r="K18" s="13" t="n">
        <x:f>IF(AND(J18=1,COUNTIFS('能力评分'!$B$7:$B$150,A18,'能力评分'!$O$7:$O$150,"可比较")=4),1,0)</x:f>
        <x:v>0</x:v>
      </x:c>
      <x:c r="L18" s="13" t="n">
        <x:f>IF(AND(J18=1,'试点设置'!$C$12&lt;&gt;"不统计",COUNTIFS('运行记录'!$B$7:$B$150,A18,'运行记录'!$AE$7:$AE$150,"纳入",'运行记录'!$AJ$7:$AJ$150,1)=4),1,0)</x:f>
        <x:v>0</x:v>
      </x:c>
      <x:c r="M18" s="50" t="str">
        <x:f>IF(K18=1,SUMIFS('能力评分'!$N$7:$N$150,'能力评分'!$B$7:$B$150,A18,'能力评分'!$D$7:$D$150,"Claude Code"),"")</x:f>
      </x:c>
      <x:c r="N18" s="50" t="str">
        <x:f>IF(K18=1,SUMIFS('能力评分'!$N$7:$N$150,'能力评分'!$B$7:$B$150,A18,'能力评分'!$D$7:$D$150,"Codex"),"")</x:f>
      </x:c>
      <x:c r="O18" s="50" t="str">
        <x:f>IF(K18=1,SUMIFS('能力评分'!$N$7:$N$150,'能力评分'!$B$7:$B$150,A18,'能力评分'!$D$7:$D$150,"Trae"),"")</x:f>
      </x:c>
      <x:c r="P18" s="50" t="str">
        <x:f>IF(K18=1,SUMIFS('能力评分'!$N$7:$N$150,'能力评分'!$B$7:$B$150,A18,'能力评分'!$D$7:$D$150,"CodeArts"),"")</x:f>
      </x:c>
      <x:c r="Q18" s="50" t="str">
        <x:f>IF(K18=1,MAX(M18:P18)-MIN(M18:P18),"")</x:f>
      </x:c>
      <x:c r="R18" s="13" t="str">
        <x:f>IF(E18=0,"未启用",IF(J18=0,"缺客观记录或存在偏差",IF(K18=0,"缺评分或评分证据",IF(AND('试点设置'!$C$12&lt;&gt;"不统计",L18=0),"缺费用记录","齐备"))))</x:f>
        <x:v>未启用</x:v>
      </x:c>
    </x:row>
    <x:row r="19" ht="25" customHeight="1">
      <x:c r="A19" s="13" t="str">
        <x:v>F05-R1</x:v>
      </x:c>
      <x:c r="B19" s="13" t="str">
        <x:v>F05</x:v>
      </x:c>
      <x:c r="C19" s="13" t="n">
        <x:v>1</x:v>
      </x:c>
      <x:c r="D19" s="13" t="str">
        <x:f>IF(INDEX('特性清单'!$B$7:$B$18,MATCH(B19,'特性清单'!$A$7:$A$18,0))="","",INDEX('特性清单'!$B$7:$B$18,MATCH(B19,'特性清单'!$A$7:$A$18,0)))</x:f>
      </x:c>
      <x:c r="E19" s="13" t="n">
        <x:f>IF(AND(D19&lt;&gt;"",C19&lt;=INDEX('特性清单'!$K$7:$K$18,MATCH(B19,'特性清单'!$A$7:$A$18,0))),1,0)</x:f>
        <x:v>0</x:v>
      </x:c>
      <x:c r="F19" s="13" t="n">
        <x:f>COUNTIFS('运行记录'!$B$7:$B$150,A19,'运行记录'!$E$7:$E$150,"Claude Code",'运行记录'!$AE$7:$AE$150,"纳入")</x:f>
        <x:v>0</x:v>
      </x:c>
      <x:c r="G19" s="13" t="n">
        <x:f>COUNTIFS('运行记录'!$B$7:$B$150,A19,'运行记录'!$E$7:$E$150,"Codex",'运行记录'!$AE$7:$AE$150,"纳入")</x:f>
        <x:v>0</x:v>
      </x:c>
      <x:c r="H19" s="13" t="n">
        <x:f>COUNTIFS('运行记录'!$B$7:$B$150,A19,'运行记录'!$E$7:$E$150,"Trae",'运行记录'!$AE$7:$AE$150,"纳入")</x:f>
        <x:v>0</x:v>
      </x:c>
      <x:c r="I19" s="13" t="n">
        <x:f>COUNTIFS('运行记录'!$B$7:$B$150,A19,'运行记录'!$E$7:$E$150,"CodeArts",'运行记录'!$AE$7:$AE$150,"纳入")</x:f>
        <x:v>0</x:v>
      </x:c>
      <x:c r="J19" s="13" t="n">
        <x:f>IF(AND(E19=1,F19=1,G19=1,H19=1,I19=1),1,0)</x:f>
        <x:v>0</x:v>
      </x:c>
      <x:c r="K19" s="13" t="n">
        <x:f>IF(AND(J19=1,COUNTIFS('能力评分'!$B$7:$B$150,A19,'能力评分'!$O$7:$O$150,"可比较")=4),1,0)</x:f>
        <x:v>0</x:v>
      </x:c>
      <x:c r="L19" s="13" t="n">
        <x:f>IF(AND(J19=1,'试点设置'!$C$12&lt;&gt;"不统计",COUNTIFS('运行记录'!$B$7:$B$150,A19,'运行记录'!$AE$7:$AE$150,"纳入",'运行记录'!$AJ$7:$AJ$150,1)=4),1,0)</x:f>
        <x:v>0</x:v>
      </x:c>
      <x:c r="M19" s="50" t="str">
        <x:f>IF(K19=1,SUMIFS('能力评分'!$N$7:$N$150,'能力评分'!$B$7:$B$150,A19,'能力评分'!$D$7:$D$150,"Claude Code"),"")</x:f>
      </x:c>
      <x:c r="N19" s="50" t="str">
        <x:f>IF(K19=1,SUMIFS('能力评分'!$N$7:$N$150,'能力评分'!$B$7:$B$150,A19,'能力评分'!$D$7:$D$150,"Codex"),"")</x:f>
      </x:c>
      <x:c r="O19" s="50" t="str">
        <x:f>IF(K19=1,SUMIFS('能力评分'!$N$7:$N$150,'能力评分'!$B$7:$B$150,A19,'能力评分'!$D$7:$D$150,"Trae"),"")</x:f>
      </x:c>
      <x:c r="P19" s="50" t="str">
        <x:f>IF(K19=1,SUMIFS('能力评分'!$N$7:$N$150,'能力评分'!$B$7:$B$150,A19,'能力评分'!$D$7:$D$150,"CodeArts"),"")</x:f>
      </x:c>
      <x:c r="Q19" s="50" t="str">
        <x:f>IF(K19=1,MAX(M19:P19)-MIN(M19:P19),"")</x:f>
      </x:c>
      <x:c r="R19" s="13" t="str">
        <x:f>IF(E19=0,"未启用",IF(J19=0,"缺客观记录或存在偏差",IF(K19=0,"缺评分或评分证据",IF(AND('试点设置'!$C$12&lt;&gt;"不统计",L19=0),"缺费用记录","齐备"))))</x:f>
        <x:v>未启用</x:v>
      </x:c>
    </x:row>
    <x:row r="20" ht="25" customHeight="1">
      <x:c r="A20" s="13" t="str">
        <x:v>F05-R2</x:v>
      </x:c>
      <x:c r="B20" s="13" t="str">
        <x:v>F05</x:v>
      </x:c>
      <x:c r="C20" s="13" t="n">
        <x:v>2</x:v>
      </x:c>
      <x:c r="D20" s="13" t="str">
        <x:f>IF(INDEX('特性清单'!$B$7:$B$18,MATCH(B20,'特性清单'!$A$7:$A$18,0))="","",INDEX('特性清单'!$B$7:$B$18,MATCH(B20,'特性清单'!$A$7:$A$18,0)))</x:f>
      </x:c>
      <x:c r="E20" s="13" t="n">
        <x:f>IF(AND(D20&lt;&gt;"",C20&lt;=INDEX('特性清单'!$K$7:$K$18,MATCH(B20,'特性清单'!$A$7:$A$18,0))),1,0)</x:f>
        <x:v>0</x:v>
      </x:c>
      <x:c r="F20" s="13" t="n">
        <x:f>COUNTIFS('运行记录'!$B$7:$B$150,A20,'运行记录'!$E$7:$E$150,"Claude Code",'运行记录'!$AE$7:$AE$150,"纳入")</x:f>
        <x:v>0</x:v>
      </x:c>
      <x:c r="G20" s="13" t="n">
        <x:f>COUNTIFS('运行记录'!$B$7:$B$150,A20,'运行记录'!$E$7:$E$150,"Codex",'运行记录'!$AE$7:$AE$150,"纳入")</x:f>
        <x:v>0</x:v>
      </x:c>
      <x:c r="H20" s="13" t="n">
        <x:f>COUNTIFS('运行记录'!$B$7:$B$150,A20,'运行记录'!$E$7:$E$150,"Trae",'运行记录'!$AE$7:$AE$150,"纳入")</x:f>
        <x:v>0</x:v>
      </x:c>
      <x:c r="I20" s="13" t="n">
        <x:f>COUNTIFS('运行记录'!$B$7:$B$150,A20,'运行记录'!$E$7:$E$150,"CodeArts",'运行记录'!$AE$7:$AE$150,"纳入")</x:f>
        <x:v>0</x:v>
      </x:c>
      <x:c r="J20" s="13" t="n">
        <x:f>IF(AND(E20=1,F20=1,G20=1,H20=1,I20=1),1,0)</x:f>
        <x:v>0</x:v>
      </x:c>
      <x:c r="K20" s="13" t="n">
        <x:f>IF(AND(J20=1,COUNTIFS('能力评分'!$B$7:$B$150,A20,'能力评分'!$O$7:$O$150,"可比较")=4),1,0)</x:f>
        <x:v>0</x:v>
      </x:c>
      <x:c r="L20" s="13" t="n">
        <x:f>IF(AND(J20=1,'试点设置'!$C$12&lt;&gt;"不统计",COUNTIFS('运行记录'!$B$7:$B$150,A20,'运行记录'!$AE$7:$AE$150,"纳入",'运行记录'!$AJ$7:$AJ$150,1)=4),1,0)</x:f>
        <x:v>0</x:v>
      </x:c>
      <x:c r="M20" s="50" t="str">
        <x:f>IF(K20=1,SUMIFS('能力评分'!$N$7:$N$150,'能力评分'!$B$7:$B$150,A20,'能力评分'!$D$7:$D$150,"Claude Code"),"")</x:f>
      </x:c>
      <x:c r="N20" s="50" t="str">
        <x:f>IF(K20=1,SUMIFS('能力评分'!$N$7:$N$150,'能力评分'!$B$7:$B$150,A20,'能力评分'!$D$7:$D$150,"Codex"),"")</x:f>
      </x:c>
      <x:c r="O20" s="50" t="str">
        <x:f>IF(K20=1,SUMIFS('能力评分'!$N$7:$N$150,'能力评分'!$B$7:$B$150,A20,'能力评分'!$D$7:$D$150,"Trae"),"")</x:f>
      </x:c>
      <x:c r="P20" s="50" t="str">
        <x:f>IF(K20=1,SUMIFS('能力评分'!$N$7:$N$150,'能力评分'!$B$7:$B$150,A20,'能力评分'!$D$7:$D$150,"CodeArts"),"")</x:f>
      </x:c>
      <x:c r="Q20" s="50" t="str">
        <x:f>IF(K20=1,MAX(M20:P20)-MIN(M20:P20),"")</x:f>
      </x:c>
      <x:c r="R20" s="13" t="str">
        <x:f>IF(E20=0,"未启用",IF(J20=0,"缺客观记录或存在偏差",IF(K20=0,"缺评分或评分证据",IF(AND('试点设置'!$C$12&lt;&gt;"不统计",L20=0),"缺费用记录","齐备"))))</x:f>
        <x:v>未启用</x:v>
      </x:c>
    </x:row>
    <x:row r="21" ht="25" customHeight="1">
      <x:c r="A21" s="13" t="str">
        <x:v>F05-R3</x:v>
      </x:c>
      <x:c r="B21" s="13" t="str">
        <x:v>F05</x:v>
      </x:c>
      <x:c r="C21" s="13" t="n">
        <x:v>3</x:v>
      </x:c>
      <x:c r="D21" s="13" t="str">
        <x:f>IF(INDEX('特性清单'!$B$7:$B$18,MATCH(B21,'特性清单'!$A$7:$A$18,0))="","",INDEX('特性清单'!$B$7:$B$18,MATCH(B21,'特性清单'!$A$7:$A$18,0)))</x:f>
      </x:c>
      <x:c r="E21" s="13" t="n">
        <x:f>IF(AND(D21&lt;&gt;"",C21&lt;=INDEX('特性清单'!$K$7:$K$18,MATCH(B21,'特性清单'!$A$7:$A$18,0))),1,0)</x:f>
        <x:v>0</x:v>
      </x:c>
      <x:c r="F21" s="13" t="n">
        <x:f>COUNTIFS('运行记录'!$B$7:$B$150,A21,'运行记录'!$E$7:$E$150,"Claude Code",'运行记录'!$AE$7:$AE$150,"纳入")</x:f>
        <x:v>0</x:v>
      </x:c>
      <x:c r="G21" s="13" t="n">
        <x:f>COUNTIFS('运行记录'!$B$7:$B$150,A21,'运行记录'!$E$7:$E$150,"Codex",'运行记录'!$AE$7:$AE$150,"纳入")</x:f>
        <x:v>0</x:v>
      </x:c>
      <x:c r="H21" s="13" t="n">
        <x:f>COUNTIFS('运行记录'!$B$7:$B$150,A21,'运行记录'!$E$7:$E$150,"Trae",'运行记录'!$AE$7:$AE$150,"纳入")</x:f>
        <x:v>0</x:v>
      </x:c>
      <x:c r="I21" s="13" t="n">
        <x:f>COUNTIFS('运行记录'!$B$7:$B$150,A21,'运行记录'!$E$7:$E$150,"CodeArts",'运行记录'!$AE$7:$AE$150,"纳入")</x:f>
        <x:v>0</x:v>
      </x:c>
      <x:c r="J21" s="13" t="n">
        <x:f>IF(AND(E21=1,F21=1,G21=1,H21=1,I21=1),1,0)</x:f>
        <x:v>0</x:v>
      </x:c>
      <x:c r="K21" s="13" t="n">
        <x:f>IF(AND(J21=1,COUNTIFS('能力评分'!$B$7:$B$150,A21,'能力评分'!$O$7:$O$150,"可比较")=4),1,0)</x:f>
        <x:v>0</x:v>
      </x:c>
      <x:c r="L21" s="13" t="n">
        <x:f>IF(AND(J21=1,'试点设置'!$C$12&lt;&gt;"不统计",COUNTIFS('运行记录'!$B$7:$B$150,A21,'运行记录'!$AE$7:$AE$150,"纳入",'运行记录'!$AJ$7:$AJ$150,1)=4),1,0)</x:f>
        <x:v>0</x:v>
      </x:c>
      <x:c r="M21" s="50" t="str">
        <x:f>IF(K21=1,SUMIFS('能力评分'!$N$7:$N$150,'能力评分'!$B$7:$B$150,A21,'能力评分'!$D$7:$D$150,"Claude Code"),"")</x:f>
      </x:c>
      <x:c r="N21" s="50" t="str">
        <x:f>IF(K21=1,SUMIFS('能力评分'!$N$7:$N$150,'能力评分'!$B$7:$B$150,A21,'能力评分'!$D$7:$D$150,"Codex"),"")</x:f>
      </x:c>
      <x:c r="O21" s="50" t="str">
        <x:f>IF(K21=1,SUMIFS('能力评分'!$N$7:$N$150,'能力评分'!$B$7:$B$150,A21,'能力评分'!$D$7:$D$150,"Trae"),"")</x:f>
      </x:c>
      <x:c r="P21" s="50" t="str">
        <x:f>IF(K21=1,SUMIFS('能力评分'!$N$7:$N$150,'能力评分'!$B$7:$B$150,A21,'能力评分'!$D$7:$D$150,"CodeArts"),"")</x:f>
      </x:c>
      <x:c r="Q21" s="50" t="str">
        <x:f>IF(K21=1,MAX(M21:P21)-MIN(M21:P21),"")</x:f>
      </x:c>
      <x:c r="R21" s="13" t="str">
        <x:f>IF(E21=0,"未启用",IF(J21=0,"缺客观记录或存在偏差",IF(K21=0,"缺评分或评分证据",IF(AND('试点设置'!$C$12&lt;&gt;"不统计",L21=0),"缺费用记录","齐备"))))</x:f>
        <x:v>未启用</x:v>
      </x:c>
    </x:row>
    <x:row r="22" ht="25" customHeight="1">
      <x:c r="A22" s="13" t="str">
        <x:v>F06-R1</x:v>
      </x:c>
      <x:c r="B22" s="13" t="str">
        <x:v>F06</x:v>
      </x:c>
      <x:c r="C22" s="13" t="n">
        <x:v>1</x:v>
      </x:c>
      <x:c r="D22" s="13" t="str">
        <x:f>IF(INDEX('特性清单'!$B$7:$B$18,MATCH(B22,'特性清单'!$A$7:$A$18,0))="","",INDEX('特性清单'!$B$7:$B$18,MATCH(B22,'特性清单'!$A$7:$A$18,0)))</x:f>
      </x:c>
      <x:c r="E22" s="13" t="n">
        <x:f>IF(AND(D22&lt;&gt;"",C22&lt;=INDEX('特性清单'!$K$7:$K$18,MATCH(B22,'特性清单'!$A$7:$A$18,0))),1,0)</x:f>
        <x:v>0</x:v>
      </x:c>
      <x:c r="F22" s="13" t="n">
        <x:f>COUNTIFS('运行记录'!$B$7:$B$150,A22,'运行记录'!$E$7:$E$150,"Claude Code",'运行记录'!$AE$7:$AE$150,"纳入")</x:f>
        <x:v>0</x:v>
      </x:c>
      <x:c r="G22" s="13" t="n">
        <x:f>COUNTIFS('运行记录'!$B$7:$B$150,A22,'运行记录'!$E$7:$E$150,"Codex",'运行记录'!$AE$7:$AE$150,"纳入")</x:f>
        <x:v>0</x:v>
      </x:c>
      <x:c r="H22" s="13" t="n">
        <x:f>COUNTIFS('运行记录'!$B$7:$B$150,A22,'运行记录'!$E$7:$E$150,"Trae",'运行记录'!$AE$7:$AE$150,"纳入")</x:f>
        <x:v>0</x:v>
      </x:c>
      <x:c r="I22" s="13" t="n">
        <x:f>COUNTIFS('运行记录'!$B$7:$B$150,A22,'运行记录'!$E$7:$E$150,"CodeArts",'运行记录'!$AE$7:$AE$150,"纳入")</x:f>
        <x:v>0</x:v>
      </x:c>
      <x:c r="J22" s="13" t="n">
        <x:f>IF(AND(E22=1,F22=1,G22=1,H22=1,I22=1),1,0)</x:f>
        <x:v>0</x:v>
      </x:c>
      <x:c r="K22" s="13" t="n">
        <x:f>IF(AND(J22=1,COUNTIFS('能力评分'!$B$7:$B$150,A22,'能力评分'!$O$7:$O$150,"可比较")=4),1,0)</x:f>
        <x:v>0</x:v>
      </x:c>
      <x:c r="L22" s="13" t="n">
        <x:f>IF(AND(J22=1,'试点设置'!$C$12&lt;&gt;"不统计",COUNTIFS('运行记录'!$B$7:$B$150,A22,'运行记录'!$AE$7:$AE$150,"纳入",'运行记录'!$AJ$7:$AJ$150,1)=4),1,0)</x:f>
        <x:v>0</x:v>
      </x:c>
      <x:c r="M22" s="50" t="str">
        <x:f>IF(K22=1,SUMIFS('能力评分'!$N$7:$N$150,'能力评分'!$B$7:$B$150,A22,'能力评分'!$D$7:$D$150,"Claude Code"),"")</x:f>
      </x:c>
      <x:c r="N22" s="50" t="str">
        <x:f>IF(K22=1,SUMIFS('能力评分'!$N$7:$N$150,'能力评分'!$B$7:$B$150,A22,'能力评分'!$D$7:$D$150,"Codex"),"")</x:f>
      </x:c>
      <x:c r="O22" s="50" t="str">
        <x:f>IF(K22=1,SUMIFS('能力评分'!$N$7:$N$150,'能力评分'!$B$7:$B$150,A22,'能力评分'!$D$7:$D$150,"Trae"),"")</x:f>
      </x:c>
      <x:c r="P22" s="50" t="str">
        <x:f>IF(K22=1,SUMIFS('能力评分'!$N$7:$N$150,'能力评分'!$B$7:$B$150,A22,'能力评分'!$D$7:$D$150,"CodeArts"),"")</x:f>
      </x:c>
      <x:c r="Q22" s="50" t="str">
        <x:f>IF(K22=1,MAX(M22:P22)-MIN(M22:P22),"")</x:f>
      </x:c>
      <x:c r="R22" s="13" t="str">
        <x:f>IF(E22=0,"未启用",IF(J22=0,"缺客观记录或存在偏差",IF(K22=0,"缺评分或评分证据",IF(AND('试点设置'!$C$12&lt;&gt;"不统计",L22=0),"缺费用记录","齐备"))))</x:f>
        <x:v>未启用</x:v>
      </x:c>
    </x:row>
    <x:row r="23" ht="25" customHeight="1">
      <x:c r="A23" s="13" t="str">
        <x:v>F06-R2</x:v>
      </x:c>
      <x:c r="B23" s="13" t="str">
        <x:v>F06</x:v>
      </x:c>
      <x:c r="C23" s="13" t="n">
        <x:v>2</x:v>
      </x:c>
      <x:c r="D23" s="13" t="str">
        <x:f>IF(INDEX('特性清单'!$B$7:$B$18,MATCH(B23,'特性清单'!$A$7:$A$18,0))="","",INDEX('特性清单'!$B$7:$B$18,MATCH(B23,'特性清单'!$A$7:$A$18,0)))</x:f>
      </x:c>
      <x:c r="E23" s="13" t="n">
        <x:f>IF(AND(D23&lt;&gt;"",C23&lt;=INDEX('特性清单'!$K$7:$K$18,MATCH(B23,'特性清单'!$A$7:$A$18,0))),1,0)</x:f>
        <x:v>0</x:v>
      </x:c>
      <x:c r="F23" s="13" t="n">
        <x:f>COUNTIFS('运行记录'!$B$7:$B$150,A23,'运行记录'!$E$7:$E$150,"Claude Code",'运行记录'!$AE$7:$AE$150,"纳入")</x:f>
        <x:v>0</x:v>
      </x:c>
      <x:c r="G23" s="13" t="n">
        <x:f>COUNTIFS('运行记录'!$B$7:$B$150,A23,'运行记录'!$E$7:$E$150,"Codex",'运行记录'!$AE$7:$AE$150,"纳入")</x:f>
        <x:v>0</x:v>
      </x:c>
      <x:c r="H23" s="13" t="n">
        <x:f>COUNTIFS('运行记录'!$B$7:$B$150,A23,'运行记录'!$E$7:$E$150,"Trae",'运行记录'!$AE$7:$AE$150,"纳入")</x:f>
        <x:v>0</x:v>
      </x:c>
      <x:c r="I23" s="13" t="n">
        <x:f>COUNTIFS('运行记录'!$B$7:$B$150,A23,'运行记录'!$E$7:$E$150,"CodeArts",'运行记录'!$AE$7:$AE$150,"纳入")</x:f>
        <x:v>0</x:v>
      </x:c>
      <x:c r="J23" s="13" t="n">
        <x:f>IF(AND(E23=1,F23=1,G23=1,H23=1,I23=1),1,0)</x:f>
        <x:v>0</x:v>
      </x:c>
      <x:c r="K23" s="13" t="n">
        <x:f>IF(AND(J23=1,COUNTIFS('能力评分'!$B$7:$B$150,A23,'能力评分'!$O$7:$O$150,"可比较")=4),1,0)</x:f>
        <x:v>0</x:v>
      </x:c>
      <x:c r="L23" s="13" t="n">
        <x:f>IF(AND(J23=1,'试点设置'!$C$12&lt;&gt;"不统计",COUNTIFS('运行记录'!$B$7:$B$150,A23,'运行记录'!$AE$7:$AE$150,"纳入",'运行记录'!$AJ$7:$AJ$150,1)=4),1,0)</x:f>
        <x:v>0</x:v>
      </x:c>
      <x:c r="M23" s="50" t="str">
        <x:f>IF(K23=1,SUMIFS('能力评分'!$N$7:$N$150,'能力评分'!$B$7:$B$150,A23,'能力评分'!$D$7:$D$150,"Claude Code"),"")</x:f>
      </x:c>
      <x:c r="N23" s="50" t="str">
        <x:f>IF(K23=1,SUMIFS('能力评分'!$N$7:$N$150,'能力评分'!$B$7:$B$150,A23,'能力评分'!$D$7:$D$150,"Codex"),"")</x:f>
      </x:c>
      <x:c r="O23" s="50" t="str">
        <x:f>IF(K23=1,SUMIFS('能力评分'!$N$7:$N$150,'能力评分'!$B$7:$B$150,A23,'能力评分'!$D$7:$D$150,"Trae"),"")</x:f>
      </x:c>
      <x:c r="P23" s="50" t="str">
        <x:f>IF(K23=1,SUMIFS('能力评分'!$N$7:$N$150,'能力评分'!$B$7:$B$150,A23,'能力评分'!$D$7:$D$150,"CodeArts"),"")</x:f>
      </x:c>
      <x:c r="Q23" s="50" t="str">
        <x:f>IF(K23=1,MAX(M23:P23)-MIN(M23:P23),"")</x:f>
      </x:c>
      <x:c r="R23" s="13" t="str">
        <x:f>IF(E23=0,"未启用",IF(J23=0,"缺客观记录或存在偏差",IF(K23=0,"缺评分或评分证据",IF(AND('试点设置'!$C$12&lt;&gt;"不统计",L23=0),"缺费用记录","齐备"))))</x:f>
        <x:v>未启用</x:v>
      </x:c>
    </x:row>
    <x:row r="24" ht="25" customHeight="1">
      <x:c r="A24" s="13" t="str">
        <x:v>F06-R3</x:v>
      </x:c>
      <x:c r="B24" s="13" t="str">
        <x:v>F06</x:v>
      </x:c>
      <x:c r="C24" s="13" t="n">
        <x:v>3</x:v>
      </x:c>
      <x:c r="D24" s="13" t="str">
        <x:f>IF(INDEX('特性清单'!$B$7:$B$18,MATCH(B24,'特性清单'!$A$7:$A$18,0))="","",INDEX('特性清单'!$B$7:$B$18,MATCH(B24,'特性清单'!$A$7:$A$18,0)))</x:f>
      </x:c>
      <x:c r="E24" s="13" t="n">
        <x:f>IF(AND(D24&lt;&gt;"",C24&lt;=INDEX('特性清单'!$K$7:$K$18,MATCH(B24,'特性清单'!$A$7:$A$18,0))),1,0)</x:f>
        <x:v>0</x:v>
      </x:c>
      <x:c r="F24" s="13" t="n">
        <x:f>COUNTIFS('运行记录'!$B$7:$B$150,A24,'运行记录'!$E$7:$E$150,"Claude Code",'运行记录'!$AE$7:$AE$150,"纳入")</x:f>
        <x:v>0</x:v>
      </x:c>
      <x:c r="G24" s="13" t="n">
        <x:f>COUNTIFS('运行记录'!$B$7:$B$150,A24,'运行记录'!$E$7:$E$150,"Codex",'运行记录'!$AE$7:$AE$150,"纳入")</x:f>
        <x:v>0</x:v>
      </x:c>
      <x:c r="H24" s="13" t="n">
        <x:f>COUNTIFS('运行记录'!$B$7:$B$150,A24,'运行记录'!$E$7:$E$150,"Trae",'运行记录'!$AE$7:$AE$150,"纳入")</x:f>
        <x:v>0</x:v>
      </x:c>
      <x:c r="I24" s="13" t="n">
        <x:f>COUNTIFS('运行记录'!$B$7:$B$150,A24,'运行记录'!$E$7:$E$150,"CodeArts",'运行记录'!$AE$7:$AE$150,"纳入")</x:f>
        <x:v>0</x:v>
      </x:c>
      <x:c r="J24" s="13" t="n">
        <x:f>IF(AND(E24=1,F24=1,G24=1,H24=1,I24=1),1,0)</x:f>
        <x:v>0</x:v>
      </x:c>
      <x:c r="K24" s="13" t="n">
        <x:f>IF(AND(J24=1,COUNTIFS('能力评分'!$B$7:$B$150,A24,'能力评分'!$O$7:$O$150,"可比较")=4),1,0)</x:f>
        <x:v>0</x:v>
      </x:c>
      <x:c r="L24" s="13" t="n">
        <x:f>IF(AND(J24=1,'试点设置'!$C$12&lt;&gt;"不统计",COUNTIFS('运行记录'!$B$7:$B$150,A24,'运行记录'!$AE$7:$AE$150,"纳入",'运行记录'!$AJ$7:$AJ$150,1)=4),1,0)</x:f>
        <x:v>0</x:v>
      </x:c>
      <x:c r="M24" s="50" t="str">
        <x:f>IF(K24=1,SUMIFS('能力评分'!$N$7:$N$150,'能力评分'!$B$7:$B$150,A24,'能力评分'!$D$7:$D$150,"Claude Code"),"")</x:f>
      </x:c>
      <x:c r="N24" s="50" t="str">
        <x:f>IF(K24=1,SUMIFS('能力评分'!$N$7:$N$150,'能力评分'!$B$7:$B$150,A24,'能力评分'!$D$7:$D$150,"Codex"),"")</x:f>
      </x:c>
      <x:c r="O24" s="50" t="str">
        <x:f>IF(K24=1,SUMIFS('能力评分'!$N$7:$N$150,'能力评分'!$B$7:$B$150,A24,'能力评分'!$D$7:$D$150,"Trae"),"")</x:f>
      </x:c>
      <x:c r="P24" s="50" t="str">
        <x:f>IF(K24=1,SUMIFS('能力评分'!$N$7:$N$150,'能力评分'!$B$7:$B$150,A24,'能力评分'!$D$7:$D$150,"CodeArts"),"")</x:f>
      </x:c>
      <x:c r="Q24" s="50" t="str">
        <x:f>IF(K24=1,MAX(M24:P24)-MIN(M24:P24),"")</x:f>
      </x:c>
      <x:c r="R24" s="13" t="str">
        <x:f>IF(E24=0,"未启用",IF(J24=0,"缺客观记录或存在偏差",IF(K24=0,"缺评分或评分证据",IF(AND('试点设置'!$C$12&lt;&gt;"不统计",L24=0),"缺费用记录","齐备"))))</x:f>
        <x:v>未启用</x:v>
      </x:c>
    </x:row>
    <x:row r="25" ht="25" customHeight="1">
      <x:c r="A25" s="13" t="str">
        <x:v>F07-R1</x:v>
      </x:c>
      <x:c r="B25" s="13" t="str">
        <x:v>F07</x:v>
      </x:c>
      <x:c r="C25" s="13" t="n">
        <x:v>1</x:v>
      </x:c>
      <x:c r="D25" s="13" t="str">
        <x:f>IF(INDEX('特性清单'!$B$7:$B$18,MATCH(B25,'特性清单'!$A$7:$A$18,0))="","",INDEX('特性清单'!$B$7:$B$18,MATCH(B25,'特性清单'!$A$7:$A$18,0)))</x:f>
      </x:c>
      <x:c r="E25" s="13" t="n">
        <x:f>IF(AND(D25&lt;&gt;"",C25&lt;=INDEX('特性清单'!$K$7:$K$18,MATCH(B25,'特性清单'!$A$7:$A$18,0))),1,0)</x:f>
        <x:v>0</x:v>
      </x:c>
      <x:c r="F25" s="13" t="n">
        <x:f>COUNTIFS('运行记录'!$B$7:$B$150,A25,'运行记录'!$E$7:$E$150,"Claude Code",'运行记录'!$AE$7:$AE$150,"纳入")</x:f>
        <x:v>0</x:v>
      </x:c>
      <x:c r="G25" s="13" t="n">
        <x:f>COUNTIFS('运行记录'!$B$7:$B$150,A25,'运行记录'!$E$7:$E$150,"Codex",'运行记录'!$AE$7:$AE$150,"纳入")</x:f>
        <x:v>0</x:v>
      </x:c>
      <x:c r="H25" s="13" t="n">
        <x:f>COUNTIFS('运行记录'!$B$7:$B$150,A25,'运行记录'!$E$7:$E$150,"Trae",'运行记录'!$AE$7:$AE$150,"纳入")</x:f>
        <x:v>0</x:v>
      </x:c>
      <x:c r="I25" s="13" t="n">
        <x:f>COUNTIFS('运行记录'!$B$7:$B$150,A25,'运行记录'!$E$7:$E$150,"CodeArts",'运行记录'!$AE$7:$AE$150,"纳入")</x:f>
        <x:v>0</x:v>
      </x:c>
      <x:c r="J25" s="13" t="n">
        <x:f>IF(AND(E25=1,F25=1,G25=1,H25=1,I25=1),1,0)</x:f>
        <x:v>0</x:v>
      </x:c>
      <x:c r="K25" s="13" t="n">
        <x:f>IF(AND(J25=1,COUNTIFS('能力评分'!$B$7:$B$150,A25,'能力评分'!$O$7:$O$150,"可比较")=4),1,0)</x:f>
        <x:v>0</x:v>
      </x:c>
      <x:c r="L25" s="13" t="n">
        <x:f>IF(AND(J25=1,'试点设置'!$C$12&lt;&gt;"不统计",COUNTIFS('运行记录'!$B$7:$B$150,A25,'运行记录'!$AE$7:$AE$150,"纳入",'运行记录'!$AJ$7:$AJ$150,1)=4),1,0)</x:f>
        <x:v>0</x:v>
      </x:c>
      <x:c r="M25" s="50" t="str">
        <x:f>IF(K25=1,SUMIFS('能力评分'!$N$7:$N$150,'能力评分'!$B$7:$B$150,A25,'能力评分'!$D$7:$D$150,"Claude Code"),"")</x:f>
      </x:c>
      <x:c r="N25" s="50" t="str">
        <x:f>IF(K25=1,SUMIFS('能力评分'!$N$7:$N$150,'能力评分'!$B$7:$B$150,A25,'能力评分'!$D$7:$D$150,"Codex"),"")</x:f>
      </x:c>
      <x:c r="O25" s="50" t="str">
        <x:f>IF(K25=1,SUMIFS('能力评分'!$N$7:$N$150,'能力评分'!$B$7:$B$150,A25,'能力评分'!$D$7:$D$150,"Trae"),"")</x:f>
      </x:c>
      <x:c r="P25" s="50" t="str">
        <x:f>IF(K25=1,SUMIFS('能力评分'!$N$7:$N$150,'能力评分'!$B$7:$B$150,A25,'能力评分'!$D$7:$D$150,"CodeArts"),"")</x:f>
      </x:c>
      <x:c r="Q25" s="50" t="str">
        <x:f>IF(K25=1,MAX(M25:P25)-MIN(M25:P25),"")</x:f>
      </x:c>
      <x:c r="R25" s="13" t="str">
        <x:f>IF(E25=0,"未启用",IF(J25=0,"缺客观记录或存在偏差",IF(K25=0,"缺评分或评分证据",IF(AND('试点设置'!$C$12&lt;&gt;"不统计",L25=0),"缺费用记录","齐备"))))</x:f>
        <x:v>未启用</x:v>
      </x:c>
    </x:row>
    <x:row r="26" ht="25" customHeight="1">
      <x:c r="A26" s="13" t="str">
        <x:v>F07-R2</x:v>
      </x:c>
      <x:c r="B26" s="13" t="str">
        <x:v>F07</x:v>
      </x:c>
      <x:c r="C26" s="13" t="n">
        <x:v>2</x:v>
      </x:c>
      <x:c r="D26" s="13" t="str">
        <x:f>IF(INDEX('特性清单'!$B$7:$B$18,MATCH(B26,'特性清单'!$A$7:$A$18,0))="","",INDEX('特性清单'!$B$7:$B$18,MATCH(B26,'特性清单'!$A$7:$A$18,0)))</x:f>
      </x:c>
      <x:c r="E26" s="13" t="n">
        <x:f>IF(AND(D26&lt;&gt;"",C26&lt;=INDEX('特性清单'!$K$7:$K$18,MATCH(B26,'特性清单'!$A$7:$A$18,0))),1,0)</x:f>
        <x:v>0</x:v>
      </x:c>
      <x:c r="F26" s="13" t="n">
        <x:f>COUNTIFS('运行记录'!$B$7:$B$150,A26,'运行记录'!$E$7:$E$150,"Claude Code",'运行记录'!$AE$7:$AE$150,"纳入")</x:f>
        <x:v>0</x:v>
      </x:c>
      <x:c r="G26" s="13" t="n">
        <x:f>COUNTIFS('运行记录'!$B$7:$B$150,A26,'运行记录'!$E$7:$E$150,"Codex",'运行记录'!$AE$7:$AE$150,"纳入")</x:f>
        <x:v>0</x:v>
      </x:c>
      <x:c r="H26" s="13" t="n">
        <x:f>COUNTIFS('运行记录'!$B$7:$B$150,A26,'运行记录'!$E$7:$E$150,"Trae",'运行记录'!$AE$7:$AE$150,"纳入")</x:f>
        <x:v>0</x:v>
      </x:c>
      <x:c r="I26" s="13" t="n">
        <x:f>COUNTIFS('运行记录'!$B$7:$B$150,A26,'运行记录'!$E$7:$E$150,"CodeArts",'运行记录'!$AE$7:$AE$150,"纳入")</x:f>
        <x:v>0</x:v>
      </x:c>
      <x:c r="J26" s="13" t="n">
        <x:f>IF(AND(E26=1,F26=1,G26=1,H26=1,I26=1),1,0)</x:f>
        <x:v>0</x:v>
      </x:c>
      <x:c r="K26" s="13" t="n">
        <x:f>IF(AND(J26=1,COUNTIFS('能力评分'!$B$7:$B$150,A26,'能力评分'!$O$7:$O$150,"可比较")=4),1,0)</x:f>
        <x:v>0</x:v>
      </x:c>
      <x:c r="L26" s="13" t="n">
        <x:f>IF(AND(J26=1,'试点设置'!$C$12&lt;&gt;"不统计",COUNTIFS('运行记录'!$B$7:$B$150,A26,'运行记录'!$AE$7:$AE$150,"纳入",'运行记录'!$AJ$7:$AJ$150,1)=4),1,0)</x:f>
        <x:v>0</x:v>
      </x:c>
      <x:c r="M26" s="50" t="str">
        <x:f>IF(K26=1,SUMIFS('能力评分'!$N$7:$N$150,'能力评分'!$B$7:$B$150,A26,'能力评分'!$D$7:$D$150,"Claude Code"),"")</x:f>
      </x:c>
      <x:c r="N26" s="50" t="str">
        <x:f>IF(K26=1,SUMIFS('能力评分'!$N$7:$N$150,'能力评分'!$B$7:$B$150,A26,'能力评分'!$D$7:$D$150,"Codex"),"")</x:f>
      </x:c>
      <x:c r="O26" s="50" t="str">
        <x:f>IF(K26=1,SUMIFS('能力评分'!$N$7:$N$150,'能力评分'!$B$7:$B$150,A26,'能力评分'!$D$7:$D$150,"Trae"),"")</x:f>
      </x:c>
      <x:c r="P26" s="50" t="str">
        <x:f>IF(K26=1,SUMIFS('能力评分'!$N$7:$N$150,'能力评分'!$B$7:$B$150,A26,'能力评分'!$D$7:$D$150,"CodeArts"),"")</x:f>
      </x:c>
      <x:c r="Q26" s="50" t="str">
        <x:f>IF(K26=1,MAX(M26:P26)-MIN(M26:P26),"")</x:f>
      </x:c>
      <x:c r="R26" s="13" t="str">
        <x:f>IF(E26=0,"未启用",IF(J26=0,"缺客观记录或存在偏差",IF(K26=0,"缺评分或评分证据",IF(AND('试点设置'!$C$12&lt;&gt;"不统计",L26=0),"缺费用记录","齐备"))))</x:f>
        <x:v>未启用</x:v>
      </x:c>
    </x:row>
    <x:row r="27" ht="25" customHeight="1">
      <x:c r="A27" s="13" t="str">
        <x:v>F07-R3</x:v>
      </x:c>
      <x:c r="B27" s="13" t="str">
        <x:v>F07</x:v>
      </x:c>
      <x:c r="C27" s="13" t="n">
        <x:v>3</x:v>
      </x:c>
      <x:c r="D27" s="13" t="str">
        <x:f>IF(INDEX('特性清单'!$B$7:$B$18,MATCH(B27,'特性清单'!$A$7:$A$18,0))="","",INDEX('特性清单'!$B$7:$B$18,MATCH(B27,'特性清单'!$A$7:$A$18,0)))</x:f>
      </x:c>
      <x:c r="E27" s="13" t="n">
        <x:f>IF(AND(D27&lt;&gt;"",C27&lt;=INDEX('特性清单'!$K$7:$K$18,MATCH(B27,'特性清单'!$A$7:$A$18,0))),1,0)</x:f>
        <x:v>0</x:v>
      </x:c>
      <x:c r="F27" s="13" t="n">
        <x:f>COUNTIFS('运行记录'!$B$7:$B$150,A27,'运行记录'!$E$7:$E$150,"Claude Code",'运行记录'!$AE$7:$AE$150,"纳入")</x:f>
        <x:v>0</x:v>
      </x:c>
      <x:c r="G27" s="13" t="n">
        <x:f>COUNTIFS('运行记录'!$B$7:$B$150,A27,'运行记录'!$E$7:$E$150,"Codex",'运行记录'!$AE$7:$AE$150,"纳入")</x:f>
        <x:v>0</x:v>
      </x:c>
      <x:c r="H27" s="13" t="n">
        <x:f>COUNTIFS('运行记录'!$B$7:$B$150,A27,'运行记录'!$E$7:$E$150,"Trae",'运行记录'!$AE$7:$AE$150,"纳入")</x:f>
        <x:v>0</x:v>
      </x:c>
      <x:c r="I27" s="13" t="n">
        <x:f>COUNTIFS('运行记录'!$B$7:$B$150,A27,'运行记录'!$E$7:$E$150,"CodeArts",'运行记录'!$AE$7:$AE$150,"纳入")</x:f>
        <x:v>0</x:v>
      </x:c>
      <x:c r="J27" s="13" t="n">
        <x:f>IF(AND(E27=1,F27=1,G27=1,H27=1,I27=1),1,0)</x:f>
        <x:v>0</x:v>
      </x:c>
      <x:c r="K27" s="13" t="n">
        <x:f>IF(AND(J27=1,COUNTIFS('能力评分'!$B$7:$B$150,A27,'能力评分'!$O$7:$O$150,"可比较")=4),1,0)</x:f>
        <x:v>0</x:v>
      </x:c>
      <x:c r="L27" s="13" t="n">
        <x:f>IF(AND(J27=1,'试点设置'!$C$12&lt;&gt;"不统计",COUNTIFS('运行记录'!$B$7:$B$150,A27,'运行记录'!$AE$7:$AE$150,"纳入",'运行记录'!$AJ$7:$AJ$150,1)=4),1,0)</x:f>
        <x:v>0</x:v>
      </x:c>
      <x:c r="M27" s="50" t="str">
        <x:f>IF(K27=1,SUMIFS('能力评分'!$N$7:$N$150,'能力评分'!$B$7:$B$150,A27,'能力评分'!$D$7:$D$150,"Claude Code"),"")</x:f>
      </x:c>
      <x:c r="N27" s="50" t="str">
        <x:f>IF(K27=1,SUMIFS('能力评分'!$N$7:$N$150,'能力评分'!$B$7:$B$150,A27,'能力评分'!$D$7:$D$150,"Codex"),"")</x:f>
      </x:c>
      <x:c r="O27" s="50" t="str">
        <x:f>IF(K27=1,SUMIFS('能力评分'!$N$7:$N$150,'能力评分'!$B$7:$B$150,A27,'能力评分'!$D$7:$D$150,"Trae"),"")</x:f>
      </x:c>
      <x:c r="P27" s="50" t="str">
        <x:f>IF(K27=1,SUMIFS('能力评分'!$N$7:$N$150,'能力评分'!$B$7:$B$150,A27,'能力评分'!$D$7:$D$150,"CodeArts"),"")</x:f>
      </x:c>
      <x:c r="Q27" s="50" t="str">
        <x:f>IF(K27=1,MAX(M27:P27)-MIN(M27:P27),"")</x:f>
      </x:c>
      <x:c r="R27" s="13" t="str">
        <x:f>IF(E27=0,"未启用",IF(J27=0,"缺客观记录或存在偏差",IF(K27=0,"缺评分或评分证据",IF(AND('试点设置'!$C$12&lt;&gt;"不统计",L27=0),"缺费用记录","齐备"))))</x:f>
        <x:v>未启用</x:v>
      </x:c>
    </x:row>
    <x:row r="28" ht="25" customHeight="1">
      <x:c r="A28" s="13" t="str">
        <x:v>F08-R1</x:v>
      </x:c>
      <x:c r="B28" s="13" t="str">
        <x:v>F08</x:v>
      </x:c>
      <x:c r="C28" s="13" t="n">
        <x:v>1</x:v>
      </x:c>
      <x:c r="D28" s="13" t="str">
        <x:f>IF(INDEX('特性清单'!$B$7:$B$18,MATCH(B28,'特性清单'!$A$7:$A$18,0))="","",INDEX('特性清单'!$B$7:$B$18,MATCH(B28,'特性清单'!$A$7:$A$18,0)))</x:f>
      </x:c>
      <x:c r="E28" s="13" t="n">
        <x:f>IF(AND(D28&lt;&gt;"",C28&lt;=INDEX('特性清单'!$K$7:$K$18,MATCH(B28,'特性清单'!$A$7:$A$18,0))),1,0)</x:f>
        <x:v>0</x:v>
      </x:c>
      <x:c r="F28" s="13" t="n">
        <x:f>COUNTIFS('运行记录'!$B$7:$B$150,A28,'运行记录'!$E$7:$E$150,"Claude Code",'运行记录'!$AE$7:$AE$150,"纳入")</x:f>
        <x:v>0</x:v>
      </x:c>
      <x:c r="G28" s="13" t="n">
        <x:f>COUNTIFS('运行记录'!$B$7:$B$150,A28,'运行记录'!$E$7:$E$150,"Codex",'运行记录'!$AE$7:$AE$150,"纳入")</x:f>
        <x:v>0</x:v>
      </x:c>
      <x:c r="H28" s="13" t="n">
        <x:f>COUNTIFS('运行记录'!$B$7:$B$150,A28,'运行记录'!$E$7:$E$150,"Trae",'运行记录'!$AE$7:$AE$150,"纳入")</x:f>
        <x:v>0</x:v>
      </x:c>
      <x:c r="I28" s="13" t="n">
        <x:f>COUNTIFS('运行记录'!$B$7:$B$150,A28,'运行记录'!$E$7:$E$150,"CodeArts",'运行记录'!$AE$7:$AE$150,"纳入")</x:f>
        <x:v>0</x:v>
      </x:c>
      <x:c r="J28" s="13" t="n">
        <x:f>IF(AND(E28=1,F28=1,G28=1,H28=1,I28=1),1,0)</x:f>
        <x:v>0</x:v>
      </x:c>
      <x:c r="K28" s="13" t="n">
        <x:f>IF(AND(J28=1,COUNTIFS('能力评分'!$B$7:$B$150,A28,'能力评分'!$O$7:$O$150,"可比较")=4),1,0)</x:f>
        <x:v>0</x:v>
      </x:c>
      <x:c r="L28" s="13" t="n">
        <x:f>IF(AND(J28=1,'试点设置'!$C$12&lt;&gt;"不统计",COUNTIFS('运行记录'!$B$7:$B$150,A28,'运行记录'!$AE$7:$AE$150,"纳入",'运行记录'!$AJ$7:$AJ$150,1)=4),1,0)</x:f>
        <x:v>0</x:v>
      </x:c>
      <x:c r="M28" s="50" t="str">
        <x:f>IF(K28=1,SUMIFS('能力评分'!$N$7:$N$150,'能力评分'!$B$7:$B$150,A28,'能力评分'!$D$7:$D$150,"Claude Code"),"")</x:f>
      </x:c>
      <x:c r="N28" s="50" t="str">
        <x:f>IF(K28=1,SUMIFS('能力评分'!$N$7:$N$150,'能力评分'!$B$7:$B$150,A28,'能力评分'!$D$7:$D$150,"Codex"),"")</x:f>
      </x:c>
      <x:c r="O28" s="50" t="str">
        <x:f>IF(K28=1,SUMIFS('能力评分'!$N$7:$N$150,'能力评分'!$B$7:$B$150,A28,'能力评分'!$D$7:$D$150,"Trae"),"")</x:f>
      </x:c>
      <x:c r="P28" s="50" t="str">
        <x:f>IF(K28=1,SUMIFS('能力评分'!$N$7:$N$150,'能力评分'!$B$7:$B$150,A28,'能力评分'!$D$7:$D$150,"CodeArts"),"")</x:f>
      </x:c>
      <x:c r="Q28" s="50" t="str">
        <x:f>IF(K28=1,MAX(M28:P28)-MIN(M28:P28),"")</x:f>
      </x:c>
      <x:c r="R28" s="13" t="str">
        <x:f>IF(E28=0,"未启用",IF(J28=0,"缺客观记录或存在偏差",IF(K28=0,"缺评分或评分证据",IF(AND('试点设置'!$C$12&lt;&gt;"不统计",L28=0),"缺费用记录","齐备"))))</x:f>
        <x:v>未启用</x:v>
      </x:c>
    </x:row>
    <x:row r="29" ht="25" customHeight="1">
      <x:c r="A29" s="13" t="str">
        <x:v>F08-R2</x:v>
      </x:c>
      <x:c r="B29" s="13" t="str">
        <x:v>F08</x:v>
      </x:c>
      <x:c r="C29" s="13" t="n">
        <x:v>2</x:v>
      </x:c>
      <x:c r="D29" s="13" t="str">
        <x:f>IF(INDEX('特性清单'!$B$7:$B$18,MATCH(B29,'特性清单'!$A$7:$A$18,0))="","",INDEX('特性清单'!$B$7:$B$18,MATCH(B29,'特性清单'!$A$7:$A$18,0)))</x:f>
      </x:c>
      <x:c r="E29" s="13" t="n">
        <x:f>IF(AND(D29&lt;&gt;"",C29&lt;=INDEX('特性清单'!$K$7:$K$18,MATCH(B29,'特性清单'!$A$7:$A$18,0))),1,0)</x:f>
        <x:v>0</x:v>
      </x:c>
      <x:c r="F29" s="13" t="n">
        <x:f>COUNTIFS('运行记录'!$B$7:$B$150,A29,'运行记录'!$E$7:$E$150,"Claude Code",'运行记录'!$AE$7:$AE$150,"纳入")</x:f>
        <x:v>0</x:v>
      </x:c>
      <x:c r="G29" s="13" t="n">
        <x:f>COUNTIFS('运行记录'!$B$7:$B$150,A29,'运行记录'!$E$7:$E$150,"Codex",'运行记录'!$AE$7:$AE$150,"纳入")</x:f>
        <x:v>0</x:v>
      </x:c>
      <x:c r="H29" s="13" t="n">
        <x:f>COUNTIFS('运行记录'!$B$7:$B$150,A29,'运行记录'!$E$7:$E$150,"Trae",'运行记录'!$AE$7:$AE$150,"纳入")</x:f>
        <x:v>0</x:v>
      </x:c>
      <x:c r="I29" s="13" t="n">
        <x:f>COUNTIFS('运行记录'!$B$7:$B$150,A29,'运行记录'!$E$7:$E$150,"CodeArts",'运行记录'!$AE$7:$AE$150,"纳入")</x:f>
        <x:v>0</x:v>
      </x:c>
      <x:c r="J29" s="13" t="n">
        <x:f>IF(AND(E29=1,F29=1,G29=1,H29=1,I29=1),1,0)</x:f>
        <x:v>0</x:v>
      </x:c>
      <x:c r="K29" s="13" t="n">
        <x:f>IF(AND(J29=1,COUNTIFS('能力评分'!$B$7:$B$150,A29,'能力评分'!$O$7:$O$150,"可比较")=4),1,0)</x:f>
        <x:v>0</x:v>
      </x:c>
      <x:c r="L29" s="13" t="n">
        <x:f>IF(AND(J29=1,'试点设置'!$C$12&lt;&gt;"不统计",COUNTIFS('运行记录'!$B$7:$B$150,A29,'运行记录'!$AE$7:$AE$150,"纳入",'运行记录'!$AJ$7:$AJ$150,1)=4),1,0)</x:f>
        <x:v>0</x:v>
      </x:c>
      <x:c r="M29" s="50" t="str">
        <x:f>IF(K29=1,SUMIFS('能力评分'!$N$7:$N$150,'能力评分'!$B$7:$B$150,A29,'能力评分'!$D$7:$D$150,"Claude Code"),"")</x:f>
      </x:c>
      <x:c r="N29" s="50" t="str">
        <x:f>IF(K29=1,SUMIFS('能力评分'!$N$7:$N$150,'能力评分'!$B$7:$B$150,A29,'能力评分'!$D$7:$D$150,"Codex"),"")</x:f>
      </x:c>
      <x:c r="O29" s="50" t="str">
        <x:f>IF(K29=1,SUMIFS('能力评分'!$N$7:$N$150,'能力评分'!$B$7:$B$150,A29,'能力评分'!$D$7:$D$150,"Trae"),"")</x:f>
      </x:c>
      <x:c r="P29" s="50" t="str">
        <x:f>IF(K29=1,SUMIFS('能力评分'!$N$7:$N$150,'能力评分'!$B$7:$B$150,A29,'能力评分'!$D$7:$D$150,"CodeArts"),"")</x:f>
      </x:c>
      <x:c r="Q29" s="50" t="str">
        <x:f>IF(K29=1,MAX(M29:P29)-MIN(M29:P29),"")</x:f>
      </x:c>
      <x:c r="R29" s="13" t="str">
        <x:f>IF(E29=0,"未启用",IF(J29=0,"缺客观记录或存在偏差",IF(K29=0,"缺评分或评分证据",IF(AND('试点设置'!$C$12&lt;&gt;"不统计",L29=0),"缺费用记录","齐备"))))</x:f>
        <x:v>未启用</x:v>
      </x:c>
    </x:row>
    <x:row r="30" ht="25" customHeight="1">
      <x:c r="A30" s="13" t="str">
        <x:v>F08-R3</x:v>
      </x:c>
      <x:c r="B30" s="13" t="str">
        <x:v>F08</x:v>
      </x:c>
      <x:c r="C30" s="13" t="n">
        <x:v>3</x:v>
      </x:c>
      <x:c r="D30" s="13" t="str">
        <x:f>IF(INDEX('特性清单'!$B$7:$B$18,MATCH(B30,'特性清单'!$A$7:$A$18,0))="","",INDEX('特性清单'!$B$7:$B$18,MATCH(B30,'特性清单'!$A$7:$A$18,0)))</x:f>
      </x:c>
      <x:c r="E30" s="13" t="n">
        <x:f>IF(AND(D30&lt;&gt;"",C30&lt;=INDEX('特性清单'!$K$7:$K$18,MATCH(B30,'特性清单'!$A$7:$A$18,0))),1,0)</x:f>
        <x:v>0</x:v>
      </x:c>
      <x:c r="F30" s="13" t="n">
        <x:f>COUNTIFS('运行记录'!$B$7:$B$150,A30,'运行记录'!$E$7:$E$150,"Claude Code",'运行记录'!$AE$7:$AE$150,"纳入")</x:f>
        <x:v>0</x:v>
      </x:c>
      <x:c r="G30" s="13" t="n">
        <x:f>COUNTIFS('运行记录'!$B$7:$B$150,A30,'运行记录'!$E$7:$E$150,"Codex",'运行记录'!$AE$7:$AE$150,"纳入")</x:f>
        <x:v>0</x:v>
      </x:c>
      <x:c r="H30" s="13" t="n">
        <x:f>COUNTIFS('运行记录'!$B$7:$B$150,A30,'运行记录'!$E$7:$E$150,"Trae",'运行记录'!$AE$7:$AE$150,"纳入")</x:f>
        <x:v>0</x:v>
      </x:c>
      <x:c r="I30" s="13" t="n">
        <x:f>COUNTIFS('运行记录'!$B$7:$B$150,A30,'运行记录'!$E$7:$E$150,"CodeArts",'运行记录'!$AE$7:$AE$150,"纳入")</x:f>
        <x:v>0</x:v>
      </x:c>
      <x:c r="J30" s="13" t="n">
        <x:f>IF(AND(E30=1,F30=1,G30=1,H30=1,I30=1),1,0)</x:f>
        <x:v>0</x:v>
      </x:c>
      <x:c r="K30" s="13" t="n">
        <x:f>IF(AND(J30=1,COUNTIFS('能力评分'!$B$7:$B$150,A30,'能力评分'!$O$7:$O$150,"可比较")=4),1,0)</x:f>
        <x:v>0</x:v>
      </x:c>
      <x:c r="L30" s="13" t="n">
        <x:f>IF(AND(J30=1,'试点设置'!$C$12&lt;&gt;"不统计",COUNTIFS('运行记录'!$B$7:$B$150,A30,'运行记录'!$AE$7:$AE$150,"纳入",'运行记录'!$AJ$7:$AJ$150,1)=4),1,0)</x:f>
        <x:v>0</x:v>
      </x:c>
      <x:c r="M30" s="50" t="str">
        <x:f>IF(K30=1,SUMIFS('能力评分'!$N$7:$N$150,'能力评分'!$B$7:$B$150,A30,'能力评分'!$D$7:$D$150,"Claude Code"),"")</x:f>
      </x:c>
      <x:c r="N30" s="50" t="str">
        <x:f>IF(K30=1,SUMIFS('能力评分'!$N$7:$N$150,'能力评分'!$B$7:$B$150,A30,'能力评分'!$D$7:$D$150,"Codex"),"")</x:f>
      </x:c>
      <x:c r="O30" s="50" t="str">
        <x:f>IF(K30=1,SUMIFS('能力评分'!$N$7:$N$150,'能力评分'!$B$7:$B$150,A30,'能力评分'!$D$7:$D$150,"Trae"),"")</x:f>
      </x:c>
      <x:c r="P30" s="50" t="str">
        <x:f>IF(K30=1,SUMIFS('能力评分'!$N$7:$N$150,'能力评分'!$B$7:$B$150,A30,'能力评分'!$D$7:$D$150,"CodeArts"),"")</x:f>
      </x:c>
      <x:c r="Q30" s="50" t="str">
        <x:f>IF(K30=1,MAX(M30:P30)-MIN(M30:P30),"")</x:f>
      </x:c>
      <x:c r="R30" s="13" t="str">
        <x:f>IF(E30=0,"未启用",IF(J30=0,"缺客观记录或存在偏差",IF(K30=0,"缺评分或评分证据",IF(AND('试点设置'!$C$12&lt;&gt;"不统计",L30=0),"缺费用记录","齐备"))))</x:f>
        <x:v>未启用</x:v>
      </x:c>
    </x:row>
    <x:row r="31" ht="25" customHeight="1">
      <x:c r="A31" s="13" t="str">
        <x:v>F09-R1</x:v>
      </x:c>
      <x:c r="B31" s="13" t="str">
        <x:v>F09</x:v>
      </x:c>
      <x:c r="C31" s="13" t="n">
        <x:v>1</x:v>
      </x:c>
      <x:c r="D31" s="13" t="str">
        <x:f>IF(INDEX('特性清单'!$B$7:$B$18,MATCH(B31,'特性清单'!$A$7:$A$18,0))="","",INDEX('特性清单'!$B$7:$B$18,MATCH(B31,'特性清单'!$A$7:$A$18,0)))</x:f>
      </x:c>
      <x:c r="E31" s="13" t="n">
        <x:f>IF(AND(D31&lt;&gt;"",C31&lt;=INDEX('特性清单'!$K$7:$K$18,MATCH(B31,'特性清单'!$A$7:$A$18,0))),1,0)</x:f>
        <x:v>0</x:v>
      </x:c>
      <x:c r="F31" s="13" t="n">
        <x:f>COUNTIFS('运行记录'!$B$7:$B$150,A31,'运行记录'!$E$7:$E$150,"Claude Code",'运行记录'!$AE$7:$AE$150,"纳入")</x:f>
        <x:v>0</x:v>
      </x:c>
      <x:c r="G31" s="13" t="n">
        <x:f>COUNTIFS('运行记录'!$B$7:$B$150,A31,'运行记录'!$E$7:$E$150,"Codex",'运行记录'!$AE$7:$AE$150,"纳入")</x:f>
        <x:v>0</x:v>
      </x:c>
      <x:c r="H31" s="13" t="n">
        <x:f>COUNTIFS('运行记录'!$B$7:$B$150,A31,'运行记录'!$E$7:$E$150,"Trae",'运行记录'!$AE$7:$AE$150,"纳入")</x:f>
        <x:v>0</x:v>
      </x:c>
      <x:c r="I31" s="13" t="n">
        <x:f>COUNTIFS('运行记录'!$B$7:$B$150,A31,'运行记录'!$E$7:$E$150,"CodeArts",'运行记录'!$AE$7:$AE$150,"纳入")</x:f>
        <x:v>0</x:v>
      </x:c>
      <x:c r="J31" s="13" t="n">
        <x:f>IF(AND(E31=1,F31=1,G31=1,H31=1,I31=1),1,0)</x:f>
        <x:v>0</x:v>
      </x:c>
      <x:c r="K31" s="13" t="n">
        <x:f>IF(AND(J31=1,COUNTIFS('能力评分'!$B$7:$B$150,A31,'能力评分'!$O$7:$O$150,"可比较")=4),1,0)</x:f>
        <x:v>0</x:v>
      </x:c>
      <x:c r="L31" s="13" t="n">
        <x:f>IF(AND(J31=1,'试点设置'!$C$12&lt;&gt;"不统计",COUNTIFS('运行记录'!$B$7:$B$150,A31,'运行记录'!$AE$7:$AE$150,"纳入",'运行记录'!$AJ$7:$AJ$150,1)=4),1,0)</x:f>
        <x:v>0</x:v>
      </x:c>
      <x:c r="M31" s="50" t="str">
        <x:f>IF(K31=1,SUMIFS('能力评分'!$N$7:$N$150,'能力评分'!$B$7:$B$150,A31,'能力评分'!$D$7:$D$150,"Claude Code"),"")</x:f>
      </x:c>
      <x:c r="N31" s="50" t="str">
        <x:f>IF(K31=1,SUMIFS('能力评分'!$N$7:$N$150,'能力评分'!$B$7:$B$150,A31,'能力评分'!$D$7:$D$150,"Codex"),"")</x:f>
      </x:c>
      <x:c r="O31" s="50" t="str">
        <x:f>IF(K31=1,SUMIFS('能力评分'!$N$7:$N$150,'能力评分'!$B$7:$B$150,A31,'能力评分'!$D$7:$D$150,"Trae"),"")</x:f>
      </x:c>
      <x:c r="P31" s="50" t="str">
        <x:f>IF(K31=1,SUMIFS('能力评分'!$N$7:$N$150,'能力评分'!$B$7:$B$150,A31,'能力评分'!$D$7:$D$150,"CodeArts"),"")</x:f>
      </x:c>
      <x:c r="Q31" s="50" t="str">
        <x:f>IF(K31=1,MAX(M31:P31)-MIN(M31:P31),"")</x:f>
      </x:c>
      <x:c r="R31" s="13" t="str">
        <x:f>IF(E31=0,"未启用",IF(J31=0,"缺客观记录或存在偏差",IF(K31=0,"缺评分或评分证据",IF(AND('试点设置'!$C$12&lt;&gt;"不统计",L31=0),"缺费用记录","齐备"))))</x:f>
        <x:v>未启用</x:v>
      </x:c>
    </x:row>
    <x:row r="32" ht="25" customHeight="1">
      <x:c r="A32" s="13" t="str">
        <x:v>F09-R2</x:v>
      </x:c>
      <x:c r="B32" s="13" t="str">
        <x:v>F09</x:v>
      </x:c>
      <x:c r="C32" s="13" t="n">
        <x:v>2</x:v>
      </x:c>
      <x:c r="D32" s="13" t="str">
        <x:f>IF(INDEX('特性清单'!$B$7:$B$18,MATCH(B32,'特性清单'!$A$7:$A$18,0))="","",INDEX('特性清单'!$B$7:$B$18,MATCH(B32,'特性清单'!$A$7:$A$18,0)))</x:f>
      </x:c>
      <x:c r="E32" s="13" t="n">
        <x:f>IF(AND(D32&lt;&gt;"",C32&lt;=INDEX('特性清单'!$K$7:$K$18,MATCH(B32,'特性清单'!$A$7:$A$18,0))),1,0)</x:f>
        <x:v>0</x:v>
      </x:c>
      <x:c r="F32" s="13" t="n">
        <x:f>COUNTIFS('运行记录'!$B$7:$B$150,A32,'运行记录'!$E$7:$E$150,"Claude Code",'运行记录'!$AE$7:$AE$150,"纳入")</x:f>
        <x:v>0</x:v>
      </x:c>
      <x:c r="G32" s="13" t="n">
        <x:f>COUNTIFS('运行记录'!$B$7:$B$150,A32,'运行记录'!$E$7:$E$150,"Codex",'运行记录'!$AE$7:$AE$150,"纳入")</x:f>
        <x:v>0</x:v>
      </x:c>
      <x:c r="H32" s="13" t="n">
        <x:f>COUNTIFS('运行记录'!$B$7:$B$150,A32,'运行记录'!$E$7:$E$150,"Trae",'运行记录'!$AE$7:$AE$150,"纳入")</x:f>
        <x:v>0</x:v>
      </x:c>
      <x:c r="I32" s="13" t="n">
        <x:f>COUNTIFS('运行记录'!$B$7:$B$150,A32,'运行记录'!$E$7:$E$150,"CodeArts",'运行记录'!$AE$7:$AE$150,"纳入")</x:f>
        <x:v>0</x:v>
      </x:c>
      <x:c r="J32" s="13" t="n">
        <x:f>IF(AND(E32=1,F32=1,G32=1,H32=1,I32=1),1,0)</x:f>
        <x:v>0</x:v>
      </x:c>
      <x:c r="K32" s="13" t="n">
        <x:f>IF(AND(J32=1,COUNTIFS('能力评分'!$B$7:$B$150,A32,'能力评分'!$O$7:$O$150,"可比较")=4),1,0)</x:f>
        <x:v>0</x:v>
      </x:c>
      <x:c r="L32" s="13" t="n">
        <x:f>IF(AND(J32=1,'试点设置'!$C$12&lt;&gt;"不统计",COUNTIFS('运行记录'!$B$7:$B$150,A32,'运行记录'!$AE$7:$AE$150,"纳入",'运行记录'!$AJ$7:$AJ$150,1)=4),1,0)</x:f>
        <x:v>0</x:v>
      </x:c>
      <x:c r="M32" s="50" t="str">
        <x:f>IF(K32=1,SUMIFS('能力评分'!$N$7:$N$150,'能力评分'!$B$7:$B$150,A32,'能力评分'!$D$7:$D$150,"Claude Code"),"")</x:f>
      </x:c>
      <x:c r="N32" s="50" t="str">
        <x:f>IF(K32=1,SUMIFS('能力评分'!$N$7:$N$150,'能力评分'!$B$7:$B$150,A32,'能力评分'!$D$7:$D$150,"Codex"),"")</x:f>
      </x:c>
      <x:c r="O32" s="50" t="str">
        <x:f>IF(K32=1,SUMIFS('能力评分'!$N$7:$N$150,'能力评分'!$B$7:$B$150,A32,'能力评分'!$D$7:$D$150,"Trae"),"")</x:f>
      </x:c>
      <x:c r="P32" s="50" t="str">
        <x:f>IF(K32=1,SUMIFS('能力评分'!$N$7:$N$150,'能力评分'!$B$7:$B$150,A32,'能力评分'!$D$7:$D$150,"CodeArts"),"")</x:f>
      </x:c>
      <x:c r="Q32" s="50" t="str">
        <x:f>IF(K32=1,MAX(M32:P32)-MIN(M32:P32),"")</x:f>
      </x:c>
      <x:c r="R32" s="13" t="str">
        <x:f>IF(E32=0,"未启用",IF(J32=0,"缺客观记录或存在偏差",IF(K32=0,"缺评分或评分证据",IF(AND('试点设置'!$C$12&lt;&gt;"不统计",L32=0),"缺费用记录","齐备"))))</x:f>
        <x:v>未启用</x:v>
      </x:c>
    </x:row>
    <x:row r="33" ht="25" customHeight="1">
      <x:c r="A33" s="13" t="str">
        <x:v>F09-R3</x:v>
      </x:c>
      <x:c r="B33" s="13" t="str">
        <x:v>F09</x:v>
      </x:c>
      <x:c r="C33" s="13" t="n">
        <x:v>3</x:v>
      </x:c>
      <x:c r="D33" s="13" t="str">
        <x:f>IF(INDEX('特性清单'!$B$7:$B$18,MATCH(B33,'特性清单'!$A$7:$A$18,0))="","",INDEX('特性清单'!$B$7:$B$18,MATCH(B33,'特性清单'!$A$7:$A$18,0)))</x:f>
      </x:c>
      <x:c r="E33" s="13" t="n">
        <x:f>IF(AND(D33&lt;&gt;"",C33&lt;=INDEX('特性清单'!$K$7:$K$18,MATCH(B33,'特性清单'!$A$7:$A$18,0))),1,0)</x:f>
        <x:v>0</x:v>
      </x:c>
      <x:c r="F33" s="13" t="n">
        <x:f>COUNTIFS('运行记录'!$B$7:$B$150,A33,'运行记录'!$E$7:$E$150,"Claude Code",'运行记录'!$AE$7:$AE$150,"纳入")</x:f>
        <x:v>0</x:v>
      </x:c>
      <x:c r="G33" s="13" t="n">
        <x:f>COUNTIFS('运行记录'!$B$7:$B$150,A33,'运行记录'!$E$7:$E$150,"Codex",'运行记录'!$AE$7:$AE$150,"纳入")</x:f>
        <x:v>0</x:v>
      </x:c>
      <x:c r="H33" s="13" t="n">
        <x:f>COUNTIFS('运行记录'!$B$7:$B$150,A33,'运行记录'!$E$7:$E$150,"Trae",'运行记录'!$AE$7:$AE$150,"纳入")</x:f>
        <x:v>0</x:v>
      </x:c>
      <x:c r="I33" s="13" t="n">
        <x:f>COUNTIFS('运行记录'!$B$7:$B$150,A33,'运行记录'!$E$7:$E$150,"CodeArts",'运行记录'!$AE$7:$AE$150,"纳入")</x:f>
        <x:v>0</x:v>
      </x:c>
      <x:c r="J33" s="13" t="n">
        <x:f>IF(AND(E33=1,F33=1,G33=1,H33=1,I33=1),1,0)</x:f>
        <x:v>0</x:v>
      </x:c>
      <x:c r="K33" s="13" t="n">
        <x:f>IF(AND(J33=1,COUNTIFS('能力评分'!$B$7:$B$150,A33,'能力评分'!$O$7:$O$150,"可比较")=4),1,0)</x:f>
        <x:v>0</x:v>
      </x:c>
      <x:c r="L33" s="13" t="n">
        <x:f>IF(AND(J33=1,'试点设置'!$C$12&lt;&gt;"不统计",COUNTIFS('运行记录'!$B$7:$B$150,A33,'运行记录'!$AE$7:$AE$150,"纳入",'运行记录'!$AJ$7:$AJ$150,1)=4),1,0)</x:f>
        <x:v>0</x:v>
      </x:c>
      <x:c r="M33" s="50" t="str">
        <x:f>IF(K33=1,SUMIFS('能力评分'!$N$7:$N$150,'能力评分'!$B$7:$B$150,A33,'能力评分'!$D$7:$D$150,"Claude Code"),"")</x:f>
      </x:c>
      <x:c r="N33" s="50" t="str">
        <x:f>IF(K33=1,SUMIFS('能力评分'!$N$7:$N$150,'能力评分'!$B$7:$B$150,A33,'能力评分'!$D$7:$D$150,"Codex"),"")</x:f>
      </x:c>
      <x:c r="O33" s="50" t="str">
        <x:f>IF(K33=1,SUMIFS('能力评分'!$N$7:$N$150,'能力评分'!$B$7:$B$150,A33,'能力评分'!$D$7:$D$150,"Trae"),"")</x:f>
      </x:c>
      <x:c r="P33" s="50" t="str">
        <x:f>IF(K33=1,SUMIFS('能力评分'!$N$7:$N$150,'能力评分'!$B$7:$B$150,A33,'能力评分'!$D$7:$D$150,"CodeArts"),"")</x:f>
      </x:c>
      <x:c r="Q33" s="50" t="str">
        <x:f>IF(K33=1,MAX(M33:P33)-MIN(M33:P33),"")</x:f>
      </x:c>
      <x:c r="R33" s="13" t="str">
        <x:f>IF(E33=0,"未启用",IF(J33=0,"缺客观记录或存在偏差",IF(K33=0,"缺评分或评分证据",IF(AND('试点设置'!$C$12&lt;&gt;"不统计",L33=0),"缺费用记录","齐备"))))</x:f>
        <x:v>未启用</x:v>
      </x:c>
    </x:row>
    <x:row r="34" ht="25" customHeight="1">
      <x:c r="A34" s="13" t="str">
        <x:v>F10-R1</x:v>
      </x:c>
      <x:c r="B34" s="13" t="str">
        <x:v>F10</x:v>
      </x:c>
      <x:c r="C34" s="13" t="n">
        <x:v>1</x:v>
      </x:c>
      <x:c r="D34" s="13" t="str">
        <x:f>IF(INDEX('特性清单'!$B$7:$B$18,MATCH(B34,'特性清单'!$A$7:$A$18,0))="","",INDEX('特性清单'!$B$7:$B$18,MATCH(B34,'特性清单'!$A$7:$A$18,0)))</x:f>
      </x:c>
      <x:c r="E34" s="13" t="n">
        <x:f>IF(AND(D34&lt;&gt;"",C34&lt;=INDEX('特性清单'!$K$7:$K$18,MATCH(B34,'特性清单'!$A$7:$A$18,0))),1,0)</x:f>
        <x:v>0</x:v>
      </x:c>
      <x:c r="F34" s="13" t="n">
        <x:f>COUNTIFS('运行记录'!$B$7:$B$150,A34,'运行记录'!$E$7:$E$150,"Claude Code",'运行记录'!$AE$7:$AE$150,"纳入")</x:f>
        <x:v>0</x:v>
      </x:c>
      <x:c r="G34" s="13" t="n">
        <x:f>COUNTIFS('运行记录'!$B$7:$B$150,A34,'运行记录'!$E$7:$E$150,"Codex",'运行记录'!$AE$7:$AE$150,"纳入")</x:f>
        <x:v>0</x:v>
      </x:c>
      <x:c r="H34" s="13" t="n">
        <x:f>COUNTIFS('运行记录'!$B$7:$B$150,A34,'运行记录'!$E$7:$E$150,"Trae",'运行记录'!$AE$7:$AE$150,"纳入")</x:f>
        <x:v>0</x:v>
      </x:c>
      <x:c r="I34" s="13" t="n">
        <x:f>COUNTIFS('运行记录'!$B$7:$B$150,A34,'运行记录'!$E$7:$E$150,"CodeArts",'运行记录'!$AE$7:$AE$150,"纳入")</x:f>
        <x:v>0</x:v>
      </x:c>
      <x:c r="J34" s="13" t="n">
        <x:f>IF(AND(E34=1,F34=1,G34=1,H34=1,I34=1),1,0)</x:f>
        <x:v>0</x:v>
      </x:c>
      <x:c r="K34" s="13" t="n">
        <x:f>IF(AND(J34=1,COUNTIFS('能力评分'!$B$7:$B$150,A34,'能力评分'!$O$7:$O$150,"可比较")=4),1,0)</x:f>
        <x:v>0</x:v>
      </x:c>
      <x:c r="L34" s="13" t="n">
        <x:f>IF(AND(J34=1,'试点设置'!$C$12&lt;&gt;"不统计",COUNTIFS('运行记录'!$B$7:$B$150,A34,'运行记录'!$AE$7:$AE$150,"纳入",'运行记录'!$AJ$7:$AJ$150,1)=4),1,0)</x:f>
        <x:v>0</x:v>
      </x:c>
      <x:c r="M34" s="50" t="str">
        <x:f>IF(K34=1,SUMIFS('能力评分'!$N$7:$N$150,'能力评分'!$B$7:$B$150,A34,'能力评分'!$D$7:$D$150,"Claude Code"),"")</x:f>
      </x:c>
      <x:c r="N34" s="50" t="str">
        <x:f>IF(K34=1,SUMIFS('能力评分'!$N$7:$N$150,'能力评分'!$B$7:$B$150,A34,'能力评分'!$D$7:$D$150,"Codex"),"")</x:f>
      </x:c>
      <x:c r="O34" s="50" t="str">
        <x:f>IF(K34=1,SUMIFS('能力评分'!$N$7:$N$150,'能力评分'!$B$7:$B$150,A34,'能力评分'!$D$7:$D$150,"Trae"),"")</x:f>
      </x:c>
      <x:c r="P34" s="50" t="str">
        <x:f>IF(K34=1,SUMIFS('能力评分'!$N$7:$N$150,'能力评分'!$B$7:$B$150,A34,'能力评分'!$D$7:$D$150,"CodeArts"),"")</x:f>
      </x:c>
      <x:c r="Q34" s="50" t="str">
        <x:f>IF(K34=1,MAX(M34:P34)-MIN(M34:P34),"")</x:f>
      </x:c>
      <x:c r="R34" s="13" t="str">
        <x:f>IF(E34=0,"未启用",IF(J34=0,"缺客观记录或存在偏差",IF(K34=0,"缺评分或评分证据",IF(AND('试点设置'!$C$12&lt;&gt;"不统计",L34=0),"缺费用记录","齐备"))))</x:f>
        <x:v>未启用</x:v>
      </x:c>
    </x:row>
    <x:row r="35" ht="25" customHeight="1">
      <x:c r="A35" s="13" t="str">
        <x:v>F10-R2</x:v>
      </x:c>
      <x:c r="B35" s="13" t="str">
        <x:v>F10</x:v>
      </x:c>
      <x:c r="C35" s="13" t="n">
        <x:v>2</x:v>
      </x:c>
      <x:c r="D35" s="13" t="str">
        <x:f>IF(INDEX('特性清单'!$B$7:$B$18,MATCH(B35,'特性清单'!$A$7:$A$18,0))="","",INDEX('特性清单'!$B$7:$B$18,MATCH(B35,'特性清单'!$A$7:$A$18,0)))</x:f>
      </x:c>
      <x:c r="E35" s="13" t="n">
        <x:f>IF(AND(D35&lt;&gt;"",C35&lt;=INDEX('特性清单'!$K$7:$K$18,MATCH(B35,'特性清单'!$A$7:$A$18,0))),1,0)</x:f>
        <x:v>0</x:v>
      </x:c>
      <x:c r="F35" s="13" t="n">
        <x:f>COUNTIFS('运行记录'!$B$7:$B$150,A35,'运行记录'!$E$7:$E$150,"Claude Code",'运行记录'!$AE$7:$AE$150,"纳入")</x:f>
        <x:v>0</x:v>
      </x:c>
      <x:c r="G35" s="13" t="n">
        <x:f>COUNTIFS('运行记录'!$B$7:$B$150,A35,'运行记录'!$E$7:$E$150,"Codex",'运行记录'!$AE$7:$AE$150,"纳入")</x:f>
        <x:v>0</x:v>
      </x:c>
      <x:c r="H35" s="13" t="n">
        <x:f>COUNTIFS('运行记录'!$B$7:$B$150,A35,'运行记录'!$E$7:$E$150,"Trae",'运行记录'!$AE$7:$AE$150,"纳入")</x:f>
        <x:v>0</x:v>
      </x:c>
      <x:c r="I35" s="13" t="n">
        <x:f>COUNTIFS('运行记录'!$B$7:$B$150,A35,'运行记录'!$E$7:$E$150,"CodeArts",'运行记录'!$AE$7:$AE$150,"纳入")</x:f>
        <x:v>0</x:v>
      </x:c>
      <x:c r="J35" s="13" t="n">
        <x:f>IF(AND(E35=1,F35=1,G35=1,H35=1,I35=1),1,0)</x:f>
        <x:v>0</x:v>
      </x:c>
      <x:c r="K35" s="13" t="n">
        <x:f>IF(AND(J35=1,COUNTIFS('能力评分'!$B$7:$B$150,A35,'能力评分'!$O$7:$O$150,"可比较")=4),1,0)</x:f>
        <x:v>0</x:v>
      </x:c>
      <x:c r="L35" s="13" t="n">
        <x:f>IF(AND(J35=1,'试点设置'!$C$12&lt;&gt;"不统计",COUNTIFS('运行记录'!$B$7:$B$150,A35,'运行记录'!$AE$7:$AE$150,"纳入",'运行记录'!$AJ$7:$AJ$150,1)=4),1,0)</x:f>
        <x:v>0</x:v>
      </x:c>
      <x:c r="M35" s="50" t="str">
        <x:f>IF(K35=1,SUMIFS('能力评分'!$N$7:$N$150,'能力评分'!$B$7:$B$150,A35,'能力评分'!$D$7:$D$150,"Claude Code"),"")</x:f>
      </x:c>
      <x:c r="N35" s="50" t="str">
        <x:f>IF(K35=1,SUMIFS('能力评分'!$N$7:$N$150,'能力评分'!$B$7:$B$150,A35,'能力评分'!$D$7:$D$150,"Codex"),"")</x:f>
      </x:c>
      <x:c r="O35" s="50" t="str">
        <x:f>IF(K35=1,SUMIFS('能力评分'!$N$7:$N$150,'能力评分'!$B$7:$B$150,A35,'能力评分'!$D$7:$D$150,"Trae"),"")</x:f>
      </x:c>
      <x:c r="P35" s="50" t="str">
        <x:f>IF(K35=1,SUMIFS('能力评分'!$N$7:$N$150,'能力评分'!$B$7:$B$150,A35,'能力评分'!$D$7:$D$150,"CodeArts"),"")</x:f>
      </x:c>
      <x:c r="Q35" s="50" t="str">
        <x:f>IF(K35=1,MAX(M35:P35)-MIN(M35:P35),"")</x:f>
      </x:c>
      <x:c r="R35" s="13" t="str">
        <x:f>IF(E35=0,"未启用",IF(J35=0,"缺客观记录或存在偏差",IF(K35=0,"缺评分或评分证据",IF(AND('试点设置'!$C$12&lt;&gt;"不统计",L35=0),"缺费用记录","齐备"))))</x:f>
        <x:v>未启用</x:v>
      </x:c>
    </x:row>
    <x:row r="36" ht="25" customHeight="1">
      <x:c r="A36" s="13" t="str">
        <x:v>F10-R3</x:v>
      </x:c>
      <x:c r="B36" s="13" t="str">
        <x:v>F10</x:v>
      </x:c>
      <x:c r="C36" s="13" t="n">
        <x:v>3</x:v>
      </x:c>
      <x:c r="D36" s="13" t="str">
        <x:f>IF(INDEX('特性清单'!$B$7:$B$18,MATCH(B36,'特性清单'!$A$7:$A$18,0))="","",INDEX('特性清单'!$B$7:$B$18,MATCH(B36,'特性清单'!$A$7:$A$18,0)))</x:f>
      </x:c>
      <x:c r="E36" s="13" t="n">
        <x:f>IF(AND(D36&lt;&gt;"",C36&lt;=INDEX('特性清单'!$K$7:$K$18,MATCH(B36,'特性清单'!$A$7:$A$18,0))),1,0)</x:f>
        <x:v>0</x:v>
      </x:c>
      <x:c r="F36" s="13" t="n">
        <x:f>COUNTIFS('运行记录'!$B$7:$B$150,A36,'运行记录'!$E$7:$E$150,"Claude Code",'运行记录'!$AE$7:$AE$150,"纳入")</x:f>
        <x:v>0</x:v>
      </x:c>
      <x:c r="G36" s="13" t="n">
        <x:f>COUNTIFS('运行记录'!$B$7:$B$150,A36,'运行记录'!$E$7:$E$150,"Codex",'运行记录'!$AE$7:$AE$150,"纳入")</x:f>
        <x:v>0</x:v>
      </x:c>
      <x:c r="H36" s="13" t="n">
        <x:f>COUNTIFS('运行记录'!$B$7:$B$150,A36,'运行记录'!$E$7:$E$150,"Trae",'运行记录'!$AE$7:$AE$150,"纳入")</x:f>
        <x:v>0</x:v>
      </x:c>
      <x:c r="I36" s="13" t="n">
        <x:f>COUNTIFS('运行记录'!$B$7:$B$150,A36,'运行记录'!$E$7:$E$150,"CodeArts",'运行记录'!$AE$7:$AE$150,"纳入")</x:f>
        <x:v>0</x:v>
      </x:c>
      <x:c r="J36" s="13" t="n">
        <x:f>IF(AND(E36=1,F36=1,G36=1,H36=1,I36=1),1,0)</x:f>
        <x:v>0</x:v>
      </x:c>
      <x:c r="K36" s="13" t="n">
        <x:f>IF(AND(J36=1,COUNTIFS('能力评分'!$B$7:$B$150,A36,'能力评分'!$O$7:$O$150,"可比较")=4),1,0)</x:f>
        <x:v>0</x:v>
      </x:c>
      <x:c r="L36" s="13" t="n">
        <x:f>IF(AND(J36=1,'试点设置'!$C$12&lt;&gt;"不统计",COUNTIFS('运行记录'!$B$7:$B$150,A36,'运行记录'!$AE$7:$AE$150,"纳入",'运行记录'!$AJ$7:$AJ$150,1)=4),1,0)</x:f>
        <x:v>0</x:v>
      </x:c>
      <x:c r="M36" s="50" t="str">
        <x:f>IF(K36=1,SUMIFS('能力评分'!$N$7:$N$150,'能力评分'!$B$7:$B$150,A36,'能力评分'!$D$7:$D$150,"Claude Code"),"")</x:f>
      </x:c>
      <x:c r="N36" s="50" t="str">
        <x:f>IF(K36=1,SUMIFS('能力评分'!$N$7:$N$150,'能力评分'!$B$7:$B$150,A36,'能力评分'!$D$7:$D$150,"Codex"),"")</x:f>
      </x:c>
      <x:c r="O36" s="50" t="str">
        <x:f>IF(K36=1,SUMIFS('能力评分'!$N$7:$N$150,'能力评分'!$B$7:$B$150,A36,'能力评分'!$D$7:$D$150,"Trae"),"")</x:f>
      </x:c>
      <x:c r="P36" s="50" t="str">
        <x:f>IF(K36=1,SUMIFS('能力评分'!$N$7:$N$150,'能力评分'!$B$7:$B$150,A36,'能力评分'!$D$7:$D$150,"CodeArts"),"")</x:f>
      </x:c>
      <x:c r="Q36" s="50" t="str">
        <x:f>IF(K36=1,MAX(M36:P36)-MIN(M36:P36),"")</x:f>
      </x:c>
      <x:c r="R36" s="13" t="str">
        <x:f>IF(E36=0,"未启用",IF(J36=0,"缺客观记录或存在偏差",IF(K36=0,"缺评分或评分证据",IF(AND('试点设置'!$C$12&lt;&gt;"不统计",L36=0),"缺费用记录","齐备"))))</x:f>
        <x:v>未启用</x:v>
      </x:c>
    </x:row>
    <x:row r="37" ht="25" customHeight="1">
      <x:c r="A37" s="13" t="str">
        <x:v>F11-R1</x:v>
      </x:c>
      <x:c r="B37" s="13" t="str">
        <x:v>F11</x:v>
      </x:c>
      <x:c r="C37" s="13" t="n">
        <x:v>1</x:v>
      </x:c>
      <x:c r="D37" s="13" t="str">
        <x:f>IF(INDEX('特性清单'!$B$7:$B$18,MATCH(B37,'特性清单'!$A$7:$A$18,0))="","",INDEX('特性清单'!$B$7:$B$18,MATCH(B37,'特性清单'!$A$7:$A$18,0)))</x:f>
      </x:c>
      <x:c r="E37" s="13" t="n">
        <x:f>IF(AND(D37&lt;&gt;"",C37&lt;=INDEX('特性清单'!$K$7:$K$18,MATCH(B37,'特性清单'!$A$7:$A$18,0))),1,0)</x:f>
        <x:v>0</x:v>
      </x:c>
      <x:c r="F37" s="13" t="n">
        <x:f>COUNTIFS('运行记录'!$B$7:$B$150,A37,'运行记录'!$E$7:$E$150,"Claude Code",'运行记录'!$AE$7:$AE$150,"纳入")</x:f>
        <x:v>0</x:v>
      </x:c>
      <x:c r="G37" s="13" t="n">
        <x:f>COUNTIFS('运行记录'!$B$7:$B$150,A37,'运行记录'!$E$7:$E$150,"Codex",'运行记录'!$AE$7:$AE$150,"纳入")</x:f>
        <x:v>0</x:v>
      </x:c>
      <x:c r="H37" s="13" t="n">
        <x:f>COUNTIFS('运行记录'!$B$7:$B$150,A37,'运行记录'!$E$7:$E$150,"Trae",'运行记录'!$AE$7:$AE$150,"纳入")</x:f>
        <x:v>0</x:v>
      </x:c>
      <x:c r="I37" s="13" t="n">
        <x:f>COUNTIFS('运行记录'!$B$7:$B$150,A37,'运行记录'!$E$7:$E$150,"CodeArts",'运行记录'!$AE$7:$AE$150,"纳入")</x:f>
        <x:v>0</x:v>
      </x:c>
      <x:c r="J37" s="13" t="n">
        <x:f>IF(AND(E37=1,F37=1,G37=1,H37=1,I37=1),1,0)</x:f>
        <x:v>0</x:v>
      </x:c>
      <x:c r="K37" s="13" t="n">
        <x:f>IF(AND(J37=1,COUNTIFS('能力评分'!$B$7:$B$150,A37,'能力评分'!$O$7:$O$150,"可比较")=4),1,0)</x:f>
        <x:v>0</x:v>
      </x:c>
      <x:c r="L37" s="13" t="n">
        <x:f>IF(AND(J37=1,'试点设置'!$C$12&lt;&gt;"不统计",COUNTIFS('运行记录'!$B$7:$B$150,A37,'运行记录'!$AE$7:$AE$150,"纳入",'运行记录'!$AJ$7:$AJ$150,1)=4),1,0)</x:f>
        <x:v>0</x:v>
      </x:c>
      <x:c r="M37" s="50" t="str">
        <x:f>IF(K37=1,SUMIFS('能力评分'!$N$7:$N$150,'能力评分'!$B$7:$B$150,A37,'能力评分'!$D$7:$D$150,"Claude Code"),"")</x:f>
      </x:c>
      <x:c r="N37" s="50" t="str">
        <x:f>IF(K37=1,SUMIFS('能力评分'!$N$7:$N$150,'能力评分'!$B$7:$B$150,A37,'能力评分'!$D$7:$D$150,"Codex"),"")</x:f>
      </x:c>
      <x:c r="O37" s="50" t="str">
        <x:f>IF(K37=1,SUMIFS('能力评分'!$N$7:$N$150,'能力评分'!$B$7:$B$150,A37,'能力评分'!$D$7:$D$150,"Trae"),"")</x:f>
      </x:c>
      <x:c r="P37" s="50" t="str">
        <x:f>IF(K37=1,SUMIFS('能力评分'!$N$7:$N$150,'能力评分'!$B$7:$B$150,A37,'能力评分'!$D$7:$D$150,"CodeArts"),"")</x:f>
      </x:c>
      <x:c r="Q37" s="50" t="str">
        <x:f>IF(K37=1,MAX(M37:P37)-MIN(M37:P37),"")</x:f>
      </x:c>
      <x:c r="R37" s="13" t="str">
        <x:f>IF(E37=0,"未启用",IF(J37=0,"缺客观记录或存在偏差",IF(K37=0,"缺评分或评分证据",IF(AND('试点设置'!$C$12&lt;&gt;"不统计",L37=0),"缺费用记录","齐备"))))</x:f>
        <x:v>未启用</x:v>
      </x:c>
    </x:row>
    <x:row r="38" ht="25" customHeight="1">
      <x:c r="A38" s="13" t="str">
        <x:v>F11-R2</x:v>
      </x:c>
      <x:c r="B38" s="13" t="str">
        <x:v>F11</x:v>
      </x:c>
      <x:c r="C38" s="13" t="n">
        <x:v>2</x:v>
      </x:c>
      <x:c r="D38" s="13" t="str">
        <x:f>IF(INDEX('特性清单'!$B$7:$B$18,MATCH(B38,'特性清单'!$A$7:$A$18,0))="","",INDEX('特性清单'!$B$7:$B$18,MATCH(B38,'特性清单'!$A$7:$A$18,0)))</x:f>
      </x:c>
      <x:c r="E38" s="13" t="n">
        <x:f>IF(AND(D38&lt;&gt;"",C38&lt;=INDEX('特性清单'!$K$7:$K$18,MATCH(B38,'特性清单'!$A$7:$A$18,0))),1,0)</x:f>
        <x:v>0</x:v>
      </x:c>
      <x:c r="F38" s="13" t="n">
        <x:f>COUNTIFS('运行记录'!$B$7:$B$150,A38,'运行记录'!$E$7:$E$150,"Claude Code",'运行记录'!$AE$7:$AE$150,"纳入")</x:f>
        <x:v>0</x:v>
      </x:c>
      <x:c r="G38" s="13" t="n">
        <x:f>COUNTIFS('运行记录'!$B$7:$B$150,A38,'运行记录'!$E$7:$E$150,"Codex",'运行记录'!$AE$7:$AE$150,"纳入")</x:f>
        <x:v>0</x:v>
      </x:c>
      <x:c r="H38" s="13" t="n">
        <x:f>COUNTIFS('运行记录'!$B$7:$B$150,A38,'运行记录'!$E$7:$E$150,"Trae",'运行记录'!$AE$7:$AE$150,"纳入")</x:f>
        <x:v>0</x:v>
      </x:c>
      <x:c r="I38" s="13" t="n">
        <x:f>COUNTIFS('运行记录'!$B$7:$B$150,A38,'运行记录'!$E$7:$E$150,"CodeArts",'运行记录'!$AE$7:$AE$150,"纳入")</x:f>
        <x:v>0</x:v>
      </x:c>
      <x:c r="J38" s="13" t="n">
        <x:f>IF(AND(E38=1,F38=1,G38=1,H38=1,I38=1),1,0)</x:f>
        <x:v>0</x:v>
      </x:c>
      <x:c r="K38" s="13" t="n">
        <x:f>IF(AND(J38=1,COUNTIFS('能力评分'!$B$7:$B$150,A38,'能力评分'!$O$7:$O$150,"可比较")=4),1,0)</x:f>
        <x:v>0</x:v>
      </x:c>
      <x:c r="L38" s="13" t="n">
        <x:f>IF(AND(J38=1,'试点设置'!$C$12&lt;&gt;"不统计",COUNTIFS('运行记录'!$B$7:$B$150,A38,'运行记录'!$AE$7:$AE$150,"纳入",'运行记录'!$AJ$7:$AJ$150,1)=4),1,0)</x:f>
        <x:v>0</x:v>
      </x:c>
      <x:c r="M38" s="50" t="str">
        <x:f>IF(K38=1,SUMIFS('能力评分'!$N$7:$N$150,'能力评分'!$B$7:$B$150,A38,'能力评分'!$D$7:$D$150,"Claude Code"),"")</x:f>
      </x:c>
      <x:c r="N38" s="50" t="str">
        <x:f>IF(K38=1,SUMIFS('能力评分'!$N$7:$N$150,'能力评分'!$B$7:$B$150,A38,'能力评分'!$D$7:$D$150,"Codex"),"")</x:f>
      </x:c>
      <x:c r="O38" s="50" t="str">
        <x:f>IF(K38=1,SUMIFS('能力评分'!$N$7:$N$150,'能力评分'!$B$7:$B$150,A38,'能力评分'!$D$7:$D$150,"Trae"),"")</x:f>
      </x:c>
      <x:c r="P38" s="50" t="str">
        <x:f>IF(K38=1,SUMIFS('能力评分'!$N$7:$N$150,'能力评分'!$B$7:$B$150,A38,'能力评分'!$D$7:$D$150,"CodeArts"),"")</x:f>
      </x:c>
      <x:c r="Q38" s="50" t="str">
        <x:f>IF(K38=1,MAX(M38:P38)-MIN(M38:P38),"")</x:f>
      </x:c>
      <x:c r="R38" s="13" t="str">
        <x:f>IF(E38=0,"未启用",IF(J38=0,"缺客观记录或存在偏差",IF(K38=0,"缺评分或评分证据",IF(AND('试点设置'!$C$12&lt;&gt;"不统计",L38=0),"缺费用记录","齐备"))))</x:f>
        <x:v>未启用</x:v>
      </x:c>
    </x:row>
    <x:row r="39" ht="25" customHeight="1">
      <x:c r="A39" s="13" t="str">
        <x:v>F11-R3</x:v>
      </x:c>
      <x:c r="B39" s="13" t="str">
        <x:v>F11</x:v>
      </x:c>
      <x:c r="C39" s="13" t="n">
        <x:v>3</x:v>
      </x:c>
      <x:c r="D39" s="13" t="str">
        <x:f>IF(INDEX('特性清单'!$B$7:$B$18,MATCH(B39,'特性清单'!$A$7:$A$18,0))="","",INDEX('特性清单'!$B$7:$B$18,MATCH(B39,'特性清单'!$A$7:$A$18,0)))</x:f>
      </x:c>
      <x:c r="E39" s="13" t="n">
        <x:f>IF(AND(D39&lt;&gt;"",C39&lt;=INDEX('特性清单'!$K$7:$K$18,MATCH(B39,'特性清单'!$A$7:$A$18,0))),1,0)</x:f>
        <x:v>0</x:v>
      </x:c>
      <x:c r="F39" s="13" t="n">
        <x:f>COUNTIFS('运行记录'!$B$7:$B$150,A39,'运行记录'!$E$7:$E$150,"Claude Code",'运行记录'!$AE$7:$AE$150,"纳入")</x:f>
        <x:v>0</x:v>
      </x:c>
      <x:c r="G39" s="13" t="n">
        <x:f>COUNTIFS('运行记录'!$B$7:$B$150,A39,'运行记录'!$E$7:$E$150,"Codex",'运行记录'!$AE$7:$AE$150,"纳入")</x:f>
        <x:v>0</x:v>
      </x:c>
      <x:c r="H39" s="13" t="n">
        <x:f>COUNTIFS('运行记录'!$B$7:$B$150,A39,'运行记录'!$E$7:$E$150,"Trae",'运行记录'!$AE$7:$AE$150,"纳入")</x:f>
        <x:v>0</x:v>
      </x:c>
      <x:c r="I39" s="13" t="n">
        <x:f>COUNTIFS('运行记录'!$B$7:$B$150,A39,'运行记录'!$E$7:$E$150,"CodeArts",'运行记录'!$AE$7:$AE$150,"纳入")</x:f>
        <x:v>0</x:v>
      </x:c>
      <x:c r="J39" s="13" t="n">
        <x:f>IF(AND(E39=1,F39=1,G39=1,H39=1,I39=1),1,0)</x:f>
        <x:v>0</x:v>
      </x:c>
      <x:c r="K39" s="13" t="n">
        <x:f>IF(AND(J39=1,COUNTIFS('能力评分'!$B$7:$B$150,A39,'能力评分'!$O$7:$O$150,"可比较")=4),1,0)</x:f>
        <x:v>0</x:v>
      </x:c>
      <x:c r="L39" s="13" t="n">
        <x:f>IF(AND(J39=1,'试点设置'!$C$12&lt;&gt;"不统计",COUNTIFS('运行记录'!$B$7:$B$150,A39,'运行记录'!$AE$7:$AE$150,"纳入",'运行记录'!$AJ$7:$AJ$150,1)=4),1,0)</x:f>
        <x:v>0</x:v>
      </x:c>
      <x:c r="M39" s="50" t="str">
        <x:f>IF(K39=1,SUMIFS('能力评分'!$N$7:$N$150,'能力评分'!$B$7:$B$150,A39,'能力评分'!$D$7:$D$150,"Claude Code"),"")</x:f>
      </x:c>
      <x:c r="N39" s="50" t="str">
        <x:f>IF(K39=1,SUMIFS('能力评分'!$N$7:$N$150,'能力评分'!$B$7:$B$150,A39,'能力评分'!$D$7:$D$150,"Codex"),"")</x:f>
      </x:c>
      <x:c r="O39" s="50" t="str">
        <x:f>IF(K39=1,SUMIFS('能力评分'!$N$7:$N$150,'能力评分'!$B$7:$B$150,A39,'能力评分'!$D$7:$D$150,"Trae"),"")</x:f>
      </x:c>
      <x:c r="P39" s="50" t="str">
        <x:f>IF(K39=1,SUMIFS('能力评分'!$N$7:$N$150,'能力评分'!$B$7:$B$150,A39,'能力评分'!$D$7:$D$150,"CodeArts"),"")</x:f>
      </x:c>
      <x:c r="Q39" s="50" t="str">
        <x:f>IF(K39=1,MAX(M39:P39)-MIN(M39:P39),"")</x:f>
      </x:c>
      <x:c r="R39" s="13" t="str">
        <x:f>IF(E39=0,"未启用",IF(J39=0,"缺客观记录或存在偏差",IF(K39=0,"缺评分或评分证据",IF(AND('试点设置'!$C$12&lt;&gt;"不统计",L39=0),"缺费用记录","齐备"))))</x:f>
        <x:v>未启用</x:v>
      </x:c>
    </x:row>
    <x:row r="40" ht="25" customHeight="1">
      <x:c r="A40" s="13" t="str">
        <x:v>F12-R1</x:v>
      </x:c>
      <x:c r="B40" s="13" t="str">
        <x:v>F12</x:v>
      </x:c>
      <x:c r="C40" s="13" t="n">
        <x:v>1</x:v>
      </x:c>
      <x:c r="D40" s="13" t="str">
        <x:f>IF(INDEX('特性清单'!$B$7:$B$18,MATCH(B40,'特性清单'!$A$7:$A$18,0))="","",INDEX('特性清单'!$B$7:$B$18,MATCH(B40,'特性清单'!$A$7:$A$18,0)))</x:f>
      </x:c>
      <x:c r="E40" s="13" t="n">
        <x:f>IF(AND(D40&lt;&gt;"",C40&lt;=INDEX('特性清单'!$K$7:$K$18,MATCH(B40,'特性清单'!$A$7:$A$18,0))),1,0)</x:f>
        <x:v>0</x:v>
      </x:c>
      <x:c r="F40" s="13" t="n">
        <x:f>COUNTIFS('运行记录'!$B$7:$B$150,A40,'运行记录'!$E$7:$E$150,"Claude Code",'运行记录'!$AE$7:$AE$150,"纳入")</x:f>
        <x:v>0</x:v>
      </x:c>
      <x:c r="G40" s="13" t="n">
        <x:f>COUNTIFS('运行记录'!$B$7:$B$150,A40,'运行记录'!$E$7:$E$150,"Codex",'运行记录'!$AE$7:$AE$150,"纳入")</x:f>
        <x:v>0</x:v>
      </x:c>
      <x:c r="H40" s="13" t="n">
        <x:f>COUNTIFS('运行记录'!$B$7:$B$150,A40,'运行记录'!$E$7:$E$150,"Trae",'运行记录'!$AE$7:$AE$150,"纳入")</x:f>
        <x:v>0</x:v>
      </x:c>
      <x:c r="I40" s="13" t="n">
        <x:f>COUNTIFS('运行记录'!$B$7:$B$150,A40,'运行记录'!$E$7:$E$150,"CodeArts",'运行记录'!$AE$7:$AE$150,"纳入")</x:f>
        <x:v>0</x:v>
      </x:c>
      <x:c r="J40" s="13" t="n">
        <x:f>IF(AND(E40=1,F40=1,G40=1,H40=1,I40=1),1,0)</x:f>
        <x:v>0</x:v>
      </x:c>
      <x:c r="K40" s="13" t="n">
        <x:f>IF(AND(J40=1,COUNTIFS('能力评分'!$B$7:$B$150,A40,'能力评分'!$O$7:$O$150,"可比较")=4),1,0)</x:f>
        <x:v>0</x:v>
      </x:c>
      <x:c r="L40" s="13" t="n">
        <x:f>IF(AND(J40=1,'试点设置'!$C$12&lt;&gt;"不统计",COUNTIFS('运行记录'!$B$7:$B$150,A40,'运行记录'!$AE$7:$AE$150,"纳入",'运行记录'!$AJ$7:$AJ$150,1)=4),1,0)</x:f>
        <x:v>0</x:v>
      </x:c>
      <x:c r="M40" s="50" t="str">
        <x:f>IF(K40=1,SUMIFS('能力评分'!$N$7:$N$150,'能力评分'!$B$7:$B$150,A40,'能力评分'!$D$7:$D$150,"Claude Code"),"")</x:f>
      </x:c>
      <x:c r="N40" s="50" t="str">
        <x:f>IF(K40=1,SUMIFS('能力评分'!$N$7:$N$150,'能力评分'!$B$7:$B$150,A40,'能力评分'!$D$7:$D$150,"Codex"),"")</x:f>
      </x:c>
      <x:c r="O40" s="50" t="str">
        <x:f>IF(K40=1,SUMIFS('能力评分'!$N$7:$N$150,'能力评分'!$B$7:$B$150,A40,'能力评分'!$D$7:$D$150,"Trae"),"")</x:f>
      </x:c>
      <x:c r="P40" s="50" t="str">
        <x:f>IF(K40=1,SUMIFS('能力评分'!$N$7:$N$150,'能力评分'!$B$7:$B$150,A40,'能力评分'!$D$7:$D$150,"CodeArts"),"")</x:f>
      </x:c>
      <x:c r="Q40" s="50" t="str">
        <x:f>IF(K40=1,MAX(M40:P40)-MIN(M40:P40),"")</x:f>
      </x:c>
      <x:c r="R40" s="13" t="str">
        <x:f>IF(E40=0,"未启用",IF(J40=0,"缺客观记录或存在偏差",IF(K40=0,"缺评分或评分证据",IF(AND('试点设置'!$C$12&lt;&gt;"不统计",L40=0),"缺费用记录","齐备"))))</x:f>
        <x:v>未启用</x:v>
      </x:c>
    </x:row>
    <x:row r="41" ht="25" customHeight="1">
      <x:c r="A41" s="13" t="str">
        <x:v>F12-R2</x:v>
      </x:c>
      <x:c r="B41" s="13" t="str">
        <x:v>F12</x:v>
      </x:c>
      <x:c r="C41" s="13" t="n">
        <x:v>2</x:v>
      </x:c>
      <x:c r="D41" s="13" t="str">
        <x:f>IF(INDEX('特性清单'!$B$7:$B$18,MATCH(B41,'特性清单'!$A$7:$A$18,0))="","",INDEX('特性清单'!$B$7:$B$18,MATCH(B41,'特性清单'!$A$7:$A$18,0)))</x:f>
      </x:c>
      <x:c r="E41" s="13" t="n">
        <x:f>IF(AND(D41&lt;&gt;"",C41&lt;=INDEX('特性清单'!$K$7:$K$18,MATCH(B41,'特性清单'!$A$7:$A$18,0))),1,0)</x:f>
        <x:v>0</x:v>
      </x:c>
      <x:c r="F41" s="13" t="n">
        <x:f>COUNTIFS('运行记录'!$B$7:$B$150,A41,'运行记录'!$E$7:$E$150,"Claude Code",'运行记录'!$AE$7:$AE$150,"纳入")</x:f>
        <x:v>0</x:v>
      </x:c>
      <x:c r="G41" s="13" t="n">
        <x:f>COUNTIFS('运行记录'!$B$7:$B$150,A41,'运行记录'!$E$7:$E$150,"Codex",'运行记录'!$AE$7:$AE$150,"纳入")</x:f>
        <x:v>0</x:v>
      </x:c>
      <x:c r="H41" s="13" t="n">
        <x:f>COUNTIFS('运行记录'!$B$7:$B$150,A41,'运行记录'!$E$7:$E$150,"Trae",'运行记录'!$AE$7:$AE$150,"纳入")</x:f>
        <x:v>0</x:v>
      </x:c>
      <x:c r="I41" s="13" t="n">
        <x:f>COUNTIFS('运行记录'!$B$7:$B$150,A41,'运行记录'!$E$7:$E$150,"CodeArts",'运行记录'!$AE$7:$AE$150,"纳入")</x:f>
        <x:v>0</x:v>
      </x:c>
      <x:c r="J41" s="13" t="n">
        <x:f>IF(AND(E41=1,F41=1,G41=1,H41=1,I41=1),1,0)</x:f>
        <x:v>0</x:v>
      </x:c>
      <x:c r="K41" s="13" t="n">
        <x:f>IF(AND(J41=1,COUNTIFS('能力评分'!$B$7:$B$150,A41,'能力评分'!$O$7:$O$150,"可比较")=4),1,0)</x:f>
        <x:v>0</x:v>
      </x:c>
      <x:c r="L41" s="13" t="n">
        <x:f>IF(AND(J41=1,'试点设置'!$C$12&lt;&gt;"不统计",COUNTIFS('运行记录'!$B$7:$B$150,A41,'运行记录'!$AE$7:$AE$150,"纳入",'运行记录'!$AJ$7:$AJ$150,1)=4),1,0)</x:f>
        <x:v>0</x:v>
      </x:c>
      <x:c r="M41" s="50" t="str">
        <x:f>IF(K41=1,SUMIFS('能力评分'!$N$7:$N$150,'能力评分'!$B$7:$B$150,A41,'能力评分'!$D$7:$D$150,"Claude Code"),"")</x:f>
      </x:c>
      <x:c r="N41" s="50" t="str">
        <x:f>IF(K41=1,SUMIFS('能力评分'!$N$7:$N$150,'能力评分'!$B$7:$B$150,A41,'能力评分'!$D$7:$D$150,"Codex"),"")</x:f>
      </x:c>
      <x:c r="O41" s="50" t="str">
        <x:f>IF(K41=1,SUMIFS('能力评分'!$N$7:$N$150,'能力评分'!$B$7:$B$150,A41,'能力评分'!$D$7:$D$150,"Trae"),"")</x:f>
      </x:c>
      <x:c r="P41" s="50" t="str">
        <x:f>IF(K41=1,SUMIFS('能力评分'!$N$7:$N$150,'能力评分'!$B$7:$B$150,A41,'能力评分'!$D$7:$D$150,"CodeArts"),"")</x:f>
      </x:c>
      <x:c r="Q41" s="50" t="str">
        <x:f>IF(K41=1,MAX(M41:P41)-MIN(M41:P41),"")</x:f>
      </x:c>
      <x:c r="R41" s="13" t="str">
        <x:f>IF(E41=0,"未启用",IF(J41=0,"缺客观记录或存在偏差",IF(K41=0,"缺评分或评分证据",IF(AND('试点设置'!$C$12&lt;&gt;"不统计",L41=0),"缺费用记录","齐备"))))</x:f>
        <x:v>未启用</x:v>
      </x:c>
    </x:row>
    <x:row r="42" ht="25" customHeight="1">
      <x:c r="A42" s="13" t="str">
        <x:v>F12-R3</x:v>
      </x:c>
      <x:c r="B42" s="13" t="str">
        <x:v>F12</x:v>
      </x:c>
      <x:c r="C42" s="13" t="n">
        <x:v>3</x:v>
      </x:c>
      <x:c r="D42" s="13" t="str">
        <x:f>IF(INDEX('特性清单'!$B$7:$B$18,MATCH(B42,'特性清单'!$A$7:$A$18,0))="","",INDEX('特性清单'!$B$7:$B$18,MATCH(B42,'特性清单'!$A$7:$A$18,0)))</x:f>
      </x:c>
      <x:c r="E42" s="13" t="n">
        <x:f>IF(AND(D42&lt;&gt;"",C42&lt;=INDEX('特性清单'!$K$7:$K$18,MATCH(B42,'特性清单'!$A$7:$A$18,0))),1,0)</x:f>
        <x:v>0</x:v>
      </x:c>
      <x:c r="F42" s="13" t="n">
        <x:f>COUNTIFS('运行记录'!$B$7:$B$150,A42,'运行记录'!$E$7:$E$150,"Claude Code",'运行记录'!$AE$7:$AE$150,"纳入")</x:f>
        <x:v>0</x:v>
      </x:c>
      <x:c r="G42" s="13" t="n">
        <x:f>COUNTIFS('运行记录'!$B$7:$B$150,A42,'运行记录'!$E$7:$E$150,"Codex",'运行记录'!$AE$7:$AE$150,"纳入")</x:f>
        <x:v>0</x:v>
      </x:c>
      <x:c r="H42" s="13" t="n">
        <x:f>COUNTIFS('运行记录'!$B$7:$B$150,A42,'运行记录'!$E$7:$E$150,"Trae",'运行记录'!$AE$7:$AE$150,"纳入")</x:f>
        <x:v>0</x:v>
      </x:c>
      <x:c r="I42" s="13" t="n">
        <x:f>COUNTIFS('运行记录'!$B$7:$B$150,A42,'运行记录'!$E$7:$E$150,"CodeArts",'运行记录'!$AE$7:$AE$150,"纳入")</x:f>
        <x:v>0</x:v>
      </x:c>
      <x:c r="J42" s="13" t="n">
        <x:f>IF(AND(E42=1,F42=1,G42=1,H42=1,I42=1),1,0)</x:f>
        <x:v>0</x:v>
      </x:c>
      <x:c r="K42" s="13" t="n">
        <x:f>IF(AND(J42=1,COUNTIFS('能力评分'!$B$7:$B$150,A42,'能力评分'!$O$7:$O$150,"可比较")=4),1,0)</x:f>
        <x:v>0</x:v>
      </x:c>
      <x:c r="L42" s="13" t="n">
        <x:f>IF(AND(J42=1,'试点设置'!$C$12&lt;&gt;"不统计",COUNTIFS('运行记录'!$B$7:$B$150,A42,'运行记录'!$AE$7:$AE$150,"纳入",'运行记录'!$AJ$7:$AJ$150,1)=4),1,0)</x:f>
        <x:v>0</x:v>
      </x:c>
      <x:c r="M42" s="50" t="str">
        <x:f>IF(K42=1,SUMIFS('能力评分'!$N$7:$N$150,'能力评分'!$B$7:$B$150,A42,'能力评分'!$D$7:$D$150,"Claude Code"),"")</x:f>
      </x:c>
      <x:c r="N42" s="50" t="str">
        <x:f>IF(K42=1,SUMIFS('能力评分'!$N$7:$N$150,'能力评分'!$B$7:$B$150,A42,'能力评分'!$D$7:$D$150,"Codex"),"")</x:f>
      </x:c>
      <x:c r="O42" s="50" t="str">
        <x:f>IF(K42=1,SUMIFS('能力评分'!$N$7:$N$150,'能力评分'!$B$7:$B$150,A42,'能力评分'!$D$7:$D$150,"Trae"),"")</x:f>
      </x:c>
      <x:c r="P42" s="50" t="str">
        <x:f>IF(K42=1,SUMIFS('能力评分'!$N$7:$N$150,'能力评分'!$B$7:$B$150,A42,'能力评分'!$D$7:$D$150,"CodeArts"),"")</x:f>
      </x:c>
      <x:c r="Q42" s="50" t="str">
        <x:f>IF(K42=1,MAX(M42:P42)-MIN(M42:P42),"")</x:f>
      </x:c>
      <x:c r="R42" s="13" t="str">
        <x:f>IF(E42=0,"未启用",IF(J42=0,"缺客观记录或存在偏差",IF(K42=0,"缺评分或评分证据",IF(AND('试点设置'!$C$12&lt;&gt;"不统计",L42=0),"缺费用记录","齐备"))))</x:f>
        <x:v>未启用</x:v>
      </x:c>
    </x:row>
  </x:sheetData>
  <x:pageMargins left="0.7" right="0.7" top="0.75" bottom="0.75" header="0.3" footer="0.3"/>
  <x:tableParts count="1">
    <x:tablePart xmlns:r="http://schemas.openxmlformats.org/officeDocument/2006/relationships" r:id="R334b84eef3a24e6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5" ySplit="6" topLeftCell="F7" activePane="bottomRight" state="frozen"/>
    </x:sheetView>
  </x:sheetViews>
  <x:sheetFormatPr defaultRowHeight="15"/>
  <x:cols>
    <x:col min="1" max="1" width="19" hidden="0" customWidth="1"/>
    <x:col min="2" max="2" width="14" hidden="0" customWidth="1"/>
    <x:col min="3" max="3" width="11" hidden="0" customWidth="1"/>
    <x:col min="4" max="4" width="8" hidden="0" customWidth="1"/>
    <x:col min="5" max="5" width="17" hidden="0" customWidth="1"/>
    <x:col min="6" max="6" width="17" hidden="0" customWidth="1"/>
    <x:col min="7" max="7" width="13" hidden="0" customWidth="1"/>
    <x:col min="8" max="8" width="23" hidden="0" customWidth="1"/>
    <x:col min="9" max="9" width="23" hidden="0" customWidth="1"/>
    <x:col min="10" max="10" width="16" hidden="0" customWidth="1"/>
    <x:col min="11" max="11" width="16" hidden="0" customWidth="1"/>
    <x:col min="12" max="12" width="18" hidden="0" customWidth="1"/>
    <x:col min="13" max="13" width="17" hidden="0" customWidth="1"/>
    <x:col min="14" max="14" width="15" hidden="0" customWidth="1"/>
    <x:col min="15" max="15" width="15" hidden="0" customWidth="1"/>
    <x:col min="16" max="16" width="16" hidden="0" customWidth="1"/>
    <x:col min="17" max="17" width="16" hidden="0" customWidth="1"/>
    <x:col min="18" max="18" width="18" hidden="0" customWidth="1"/>
    <x:col min="19" max="19" width="14" hidden="0" customWidth="1"/>
    <x:col min="20" max="20" width="16" hidden="0" customWidth="1"/>
    <x:col min="21" max="21" width="16" hidden="0" customWidth="1"/>
    <x:col min="22" max="22" width="16" hidden="0" customWidth="1"/>
    <x:col min="23" max="23" width="39" hidden="0" customWidth="1"/>
    <x:col min="24" max="24" width="37" hidden="0" customWidth="1"/>
    <x:col min="25" max="25" width="17" hidden="0" customWidth="1"/>
    <x:col min="26" max="26" width="15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23" hidden="0" customWidth="1"/>
    <x:col min="32" max="32" width="16" hidden="0" customWidth="1"/>
    <x:col min="33" max="33" width="16" hidden="0" customWidth="1"/>
    <x:col min="34" max="34" width="16" hidden="0" customWidth="1"/>
    <x:col min="35" max="35" width="21" hidden="0" customWidth="1"/>
    <x:col min="36" max="36" width="16" hidden="0" customWidth="1"/>
    <x:col min="37" max="37" width="19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</x:row>
    <x:row r="2" ht="34" customHeight="1">
      <x:c r="A2" s="4" t="str">
        <x:v>运行记录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</x:row>
    <x:row r="3" ht="25" customHeight="1">
      <x:c r="A3" s="7" t="str">
        <x:v>每次运行填一行。原始通过数在人工改码前测量；超时、工具故障也必须结束记录并保留证据。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</x:row>
    <x:row r="4" ht="25" customHeight="1">
      <x:c r="A4" s="43" t="str">
        <x:v>固定标识</x:v>
      </x:c>
      <x:c r="B4" s="43"/>
      <x:c r="C4" s="43"/>
      <x:c r="D4" s="43"/>
      <x:c r="E4" s="43"/>
      <x:c r="F4" s="43" t="str">
        <x:v>人员与过程</x:v>
      </x:c>
      <x:c r="G4" s="43"/>
      <x:c r="H4" s="43"/>
      <x:c r="I4" s="43"/>
      <x:c r="J4" s="43"/>
      <x:c r="K4" s="43"/>
      <x:c r="L4" s="43"/>
      <x:c r="M4" s="43"/>
      <x:c r="N4" s="43"/>
      <x:c r="O4" s="43"/>
      <x:c r="P4" s="43" t="str">
        <x:v>验收与质量</x:v>
      </x:c>
      <x:c r="Q4" s="43"/>
      <x:c r="R4" s="43"/>
      <x:c r="S4" s="43"/>
      <x:c r="T4" s="43"/>
      <x:c r="U4" s="43" t="str">
        <x:v>费用、条件及证据</x:v>
      </x:c>
      <x:c r="V4" s="43"/>
      <x:c r="W4" s="43"/>
      <x:c r="X4" s="43"/>
      <x:c r="Y4" s="43"/>
      <x:c r="Z4" s="43" t="str">
        <x:v>自动计算</x:v>
      </x:c>
      <x:c r="AA4" s="43"/>
      <x:c r="AB4" s="43"/>
      <x:c r="AC4" s="43"/>
      <x:c r="AD4" s="43"/>
      <x:c r="AE4" s="43"/>
      <x:c r="AF4" s="43"/>
      <x:c r="AG4" s="43"/>
      <x:c r="AH4" s="43"/>
      <x:c r="AI4" s="43" t="str">
        <x:v>补充输入</x:v>
      </x:c>
      <x:c r="AJ4" s="43" t="str">
        <x:v>自动计算</x:v>
      </x:c>
      <x:c r="AK4" s="43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</x:row>
    <x:row r="6" ht="46" customHeight="1">
      <x:c r="A6" s="22" t="str">
        <x:v>运行ID</x:v>
      </x:c>
      <x:c r="B6" s="23" t="str">
        <x:v>配对ID</x:v>
      </x:c>
      <x:c r="C6" s="23" t="str">
        <x:v>特性ID</x:v>
      </x:c>
      <x:c r="D6" s="23" t="str">
        <x:v>轮次</x:v>
      </x:c>
      <x:c r="E6" s="23" t="str">
        <x:v>工具</x:v>
      </x:c>
      <x:c r="F6" s="23" t="str">
        <x:v>操作者</x:v>
      </x:c>
      <x:c r="G6" s="23" t="str">
        <x:v>实际顺序 1–4</x:v>
      </x:c>
      <x:c r="H6" s="23" t="str">
        <x:v>开始时间</x:v>
      </x:c>
      <x:c r="I6" s="23" t="str">
        <x:v>结束时间</x:v>
      </x:c>
      <x:c r="J6" s="23" t="str">
        <x:v>外部暂停（分钟）</x:v>
      </x:c>
      <x:c r="K6" s="23" t="str">
        <x:v>人工投入（分钟）</x:v>
      </x:c>
      <x:c r="L6" s="23" t="str">
        <x:v>其中人工改码（分钟）</x:v>
      </x:c>
      <x:c r="M6" s="23" t="str">
        <x:v>有效人工干预（次）</x:v>
      </x:c>
      <x:c r="N6" s="23" t="str">
        <x:v>提示往返（轮）</x:v>
      </x:c>
      <x:c r="O6" s="23" t="str">
        <x:v>终态</x:v>
      </x:c>
      <x:c r="P6" s="23" t="str">
        <x:v>AI 原始通过数</x:v>
      </x:c>
      <x:c r="Q6" s="23" t="str">
        <x:v>最终通过数</x:v>
      </x:c>
      <x:c r="R6" s="23" t="str">
        <x:v>新增严重缺陷（个）</x:v>
      </x:c>
      <x:c r="S6" s="23" t="str">
        <x:v>回归结果</x:v>
      </x:c>
      <x:c r="T6" s="23" t="str">
        <x:v>代码审查结果</x:v>
      </x:c>
      <x:c r="U6" s="23" t="str">
        <x:v>工具费用（元）</x:v>
      </x:c>
      <x:c r="V6" s="23" t="str">
        <x:v>条件一致性</x:v>
      </x:c>
      <x:c r="W6" s="23" t="str">
        <x:v>偏差 / 失败 / 暂停说明</x:v>
      </x:c>
      <x:c r="X6" s="23" t="str">
        <x:v>证据包链接</x:v>
      </x:c>
      <x:c r="Y6" s="23" t="str">
        <x:v>复核人</x:v>
      </x:c>
      <x:c r="Z6" s="23" t="str">
        <x:v>验收用例总数</x:v>
      </x:c>
      <x:c r="AA6" s="23" t="str">
        <x:v>净耗时（分钟）</x:v>
      </x:c>
      <x:c r="AB6" s="23" t="str">
        <x:v>AI 原始通过率</x:v>
      </x:c>
      <x:c r="AC6" s="23" t="str">
        <x:v>最终通过率</x:v>
      </x:c>
      <x:c r="AD6" s="23" t="str">
        <x:v>达标交付 0/1</x:v>
      </x:c>
      <x:c r="AE6" s="23" t="str">
        <x:v>记录状态</x:v>
      </x:c>
      <x:c r="AF6" s="23" t="str">
        <x:v>客观配对 0/1</x:v>
      </x:c>
      <x:c r="AG6" s="23" t="str">
        <x:v>费用配对 0/1</x:v>
      </x:c>
      <x:c r="AH6" s="23" t="str">
        <x:v>限时（分钟）</x:v>
      </x:c>
      <x:c r="AI6" s="23" t="str">
        <x:v>操作者工具熟练度</x:v>
      </x:c>
      <x:c r="AJ6" s="23" t="str">
        <x:v>费用已记录 0/1</x:v>
      </x:c>
      <x:c r="AK6" s="24" t="str">
        <x:v>超时或超预算 0/1</x:v>
      </x:c>
    </x:row>
    <x:row r="7" ht="25" customHeight="1">
      <x:c r="A7" s="13" t="str">
        <x:v>F01-R1-CC</x:v>
      </x:c>
      <x:c r="B7" s="13" t="str">
        <x:v>F01-R1</x:v>
      </x:c>
      <x:c r="C7" s="13" t="str">
        <x:v>F01</x:v>
      </x:c>
      <x:c r="D7" s="58" t="n">
        <x:v>1</x:v>
      </x:c>
      <x:c r="E7" s="13" t="str">
        <x:v>Claude Code</x:v>
      </x:c>
      <x:c r="F7" s="9"/>
      <x:c r="G7" s="55"/>
      <x:c r="H7" s="44"/>
      <x:c r="I7" s="44"/>
      <x:c r="J7" s="47"/>
      <x:c r="K7" s="47"/>
      <x:c r="L7" s="47"/>
      <x:c r="M7" s="55"/>
      <x:c r="N7" s="55"/>
      <x:c r="O7" s="9"/>
      <x:c r="P7" s="55"/>
      <x:c r="Q7" s="55"/>
      <x:c r="R7" s="55"/>
      <x:c r="S7" s="9"/>
      <x:c r="T7" s="9"/>
      <x:c r="U7" s="52"/>
      <x:c r="V7" s="9"/>
      <x:c r="W7" s="9"/>
      <x:c r="X7" s="9"/>
      <x:c r="Y7" s="9"/>
      <x:c r="Z7" s="13" t="str">
        <x:f>IF(INDEX('特性清单'!$B$7:$B$18,MATCH(C7,'特性清单'!$A$7:$A$18,0))="","",IF(INDEX('特性清单'!$H$7:$H$18,MATCH(C7,'特性清单'!$A$7:$A$18,0))="","",INDEX('特性清单'!$H$7:$H$18,MATCH(C7,'特性清单'!$A$7:$A$18,0))))</x:f>
      </x:c>
      <x:c r="AA7" s="50" t="str">
        <x:f>IF(AND(COUNT(H7:J7)=3,I7&gt;=H7,J7&gt;=0),ROUND((I7-H7)*1440-J7,2),"")</x:f>
      </x:c>
      <x:c r="AB7" s="51" t="str">
        <x:f>IF(AND(ISNUMBER(P7),ISNUMBER(Z7),Z7&gt;0,P7&gt;=0,P7&lt;=Z7),P7/Z7,"")</x:f>
      </x:c>
      <x:c r="AC7" s="51" t="str">
        <x:f>IF(AND(ISNUMBER(Q7),ISNUMBER(Z7),Z7&gt;0,Q7&gt;=0,Q7&lt;=Z7),Q7/Z7,"")</x:f>
      </x:c>
      <x:c r="AD7" s="13" t="str">
        <x:f>IF(AE7&lt;&gt;"纳入","",IF(AND(O7="完成",AC7=1,R7=0,S7="通过",T7="通过",AA7&lt;=AH7),1,0))</x:f>
      </x:c>
      <x:c r="AE7" s="13" t="str">
        <x:f>IF(O7="","待运行",IF(O7="进行中","进行中",IF(NOT(OR(O7="完成",O7="超时",O7="工具故障",O7="主动终止")),"需核对终态",IF(OR('试点设置'!$C$15&lt;&gt;"齐备",INDEX('特性清单'!$P$7:$P$18,MATCH(C7,'特性清单'!$A$7:$A$18,0))&lt;&gt;"齐备",D7&gt;INDEX('特性清单'!$K$7:$K$18,MATCH(C7,'特性清单'!$A$7:$A$18,0))),"待补齐试验设置",IF(NOT(AND(F7&lt;&gt;"",COUNT(G7:N7)=8,COUNT(P7:R7)=3,S7&lt;&gt;"",T7&lt;&gt;"",V7&lt;&gt;"",X7&lt;&gt;"",Y7&lt;&gt;"",AI7&lt;&gt;"")),"待补齐记录",IF(NOT(AND(G7&gt;=1,G7&lt;=4,MOD(G7,1)=0,I7&gt;=H7,MIN(J7:N7)&gt;=0,MOD(M7,1)=0,MOD(N7,1)=0,AA7&gt;=0,K7&lt;=AA7,L7&lt;=K7,MIN(P7:R7)&gt;=0,MOD(P7,1)=0,MOD(Q7,1)=0,MOD(R7,1)=0,P7&lt;=Z7,Q7&lt;=Z7,OR(S7="通过",S7="失败",S7="未完成"),OR(T7="通过",T7="失败",T7="未完成"),OR(AI7="新手",AI7="偶尔使用",AI7="经常使用"),COUNTIFS($A$7:$A$150,A7)=1)),"需核对数值或ID",IF(OR(AND(O7&lt;&gt;"完成",W7=""),AND(J7&gt;0,W7=""),AND(V7&lt;&gt;"一致",W7="")),"待说明原因",IF(V7&lt;&gt;"一致","条件偏差","纳入"))))))))</x:f>
        <x:v>待运行</x:v>
      </x:c>
      <x:c r="AF7" s="13" t="n">
        <x:f>IF(AE7&lt;&gt;"纳入",0,INDEX('配对比较'!$J$7:$J$42,MATCH(B7,'配对比较'!$A$7:$A$42,0)))</x:f>
        <x:v>0</x:v>
      </x:c>
      <x:c r="AG7" s="13" t="n">
        <x:f>IF(AE7&lt;&gt;"纳入",0,INDEX('配对比较'!$L$7:$L$42,MATCH(B7,'配对比较'!$A$7:$A$42,0)))</x:f>
        <x:v>0</x:v>
      </x:c>
      <x:c r="AH7" s="13" t="str">
        <x:f>IF(INDEX('特性清单'!$B$7:$B$18,MATCH(C7,'特性清单'!$A$7:$A$18,0))="","",IF(INDEX('特性清单'!$J$7:$J$18,MATCH(C7,'特性清单'!$A$7:$A$18,0))="","",INDEX('特性清单'!$J$7:$J$18,MATCH(C7,'特性清单'!$A$7:$A$18,0))))</x:f>
      </x:c>
      <x:c r="AI7" s="9"/>
      <x:c r="AJ7" s="13" t="n">
        <x:f>IF(AND(ISNUMBER(U7),U7&gt;=0),1,0)</x:f>
        <x:v>0</x:v>
      </x:c>
      <x:c r="AK7" s="13" t="str">
        <x:f>IF(AE7&lt;&gt;"纳入","",IF(OR(O7="超时",AA7&gt;AH7),1,0))</x:f>
      </x:c>
    </x:row>
    <x:row r="8" ht="25" customHeight="1">
      <x:c r="A8" s="13" t="str">
        <x:v>F01-R1-CX</x:v>
      </x:c>
      <x:c r="B8" s="13" t="str">
        <x:v>F01-R1</x:v>
      </x:c>
      <x:c r="C8" s="13" t="str">
        <x:v>F01</x:v>
      </x:c>
      <x:c r="D8" s="58" t="n">
        <x:v>1</x:v>
      </x:c>
      <x:c r="E8" s="13" t="str">
        <x:v>Codex</x:v>
      </x:c>
      <x:c r="F8" s="10"/>
      <x:c r="G8" s="56"/>
      <x:c r="H8" s="45"/>
      <x:c r="I8" s="45"/>
      <x:c r="J8" s="48"/>
      <x:c r="K8" s="48"/>
      <x:c r="L8" s="48"/>
      <x:c r="M8" s="56"/>
      <x:c r="N8" s="56"/>
      <x:c r="O8" s="10"/>
      <x:c r="P8" s="56"/>
      <x:c r="Q8" s="56"/>
      <x:c r="R8" s="56"/>
      <x:c r="S8" s="10"/>
      <x:c r="T8" s="10"/>
      <x:c r="U8" s="53"/>
      <x:c r="V8" s="10"/>
      <x:c r="W8" s="10"/>
      <x:c r="X8" s="10"/>
      <x:c r="Y8" s="10"/>
      <x:c r="Z8" s="13" t="str">
        <x:f>IF(INDEX('特性清单'!$B$7:$B$18,MATCH(C8,'特性清单'!$A$7:$A$18,0))="","",IF(INDEX('特性清单'!$H$7:$H$18,MATCH(C8,'特性清单'!$A$7:$A$18,0))="","",INDEX('特性清单'!$H$7:$H$18,MATCH(C8,'特性清单'!$A$7:$A$18,0))))</x:f>
      </x:c>
      <x:c r="AA8" s="50" t="str">
        <x:f>IF(AND(COUNT(H8:J8)=3,I8&gt;=H8,J8&gt;=0),ROUND((I8-H8)*1440-J8,2),"")</x:f>
      </x:c>
      <x:c r="AB8" s="51" t="str">
        <x:f>IF(AND(ISNUMBER(P8),ISNUMBER(Z8),Z8&gt;0,P8&gt;=0,P8&lt;=Z8),P8/Z8,"")</x:f>
      </x:c>
      <x:c r="AC8" s="51" t="str">
        <x:f>IF(AND(ISNUMBER(Q8),ISNUMBER(Z8),Z8&gt;0,Q8&gt;=0,Q8&lt;=Z8),Q8/Z8,"")</x:f>
      </x:c>
      <x:c r="AD8" s="13" t="str">
        <x:f>IF(AE8&lt;&gt;"纳入","",IF(AND(O8="完成",AC8=1,R8=0,S8="通过",T8="通过",AA8&lt;=AH8),1,0))</x:f>
      </x:c>
      <x:c r="AE8" s="13" t="str">
        <x:f>IF(O8="","待运行",IF(O8="进行中","进行中",IF(NOT(OR(O8="完成",O8="超时",O8="工具故障",O8="主动终止")),"需核对终态",IF(OR('试点设置'!$C$15&lt;&gt;"齐备",INDEX('特性清单'!$P$7:$P$18,MATCH(C8,'特性清单'!$A$7:$A$18,0))&lt;&gt;"齐备",D8&gt;INDEX('特性清单'!$K$7:$K$18,MATCH(C8,'特性清单'!$A$7:$A$18,0))),"待补齐试验设置",IF(NOT(AND(F8&lt;&gt;"",COUNT(G8:N8)=8,COUNT(P8:R8)=3,S8&lt;&gt;"",T8&lt;&gt;"",V8&lt;&gt;"",X8&lt;&gt;"",Y8&lt;&gt;"",AI8&lt;&gt;"")),"待补齐记录",IF(NOT(AND(G8&gt;=1,G8&lt;=4,MOD(G8,1)=0,I8&gt;=H8,MIN(J8:N8)&gt;=0,MOD(M8,1)=0,MOD(N8,1)=0,AA8&gt;=0,K8&lt;=AA8,L8&lt;=K8,MIN(P8:R8)&gt;=0,MOD(P8,1)=0,MOD(Q8,1)=0,MOD(R8,1)=0,P8&lt;=Z8,Q8&lt;=Z8,OR(S8="通过",S8="失败",S8="未完成"),OR(T8="通过",T8="失败",T8="未完成"),OR(AI8="新手",AI8="偶尔使用",AI8="经常使用"),COUNTIFS($A$7:$A$150,A8)=1)),"需核对数值或ID",IF(OR(AND(O8&lt;&gt;"完成",W8=""),AND(J8&gt;0,W8=""),AND(V8&lt;&gt;"一致",W8="")),"待说明原因",IF(V8&lt;&gt;"一致","条件偏差","纳入"))))))))</x:f>
        <x:v>待运行</x:v>
      </x:c>
      <x:c r="AF8" s="13" t="n">
        <x:f>IF(AE8&lt;&gt;"纳入",0,INDEX('配对比较'!$J$7:$J$42,MATCH(B8,'配对比较'!$A$7:$A$42,0)))</x:f>
        <x:v>0</x:v>
      </x:c>
      <x:c r="AG8" s="13" t="n">
        <x:f>IF(AE8&lt;&gt;"纳入",0,INDEX('配对比较'!$L$7:$L$42,MATCH(B8,'配对比较'!$A$7:$A$42,0)))</x:f>
        <x:v>0</x:v>
      </x:c>
      <x:c r="AH8" s="13" t="str">
        <x:f>IF(INDEX('特性清单'!$B$7:$B$18,MATCH(C8,'特性清单'!$A$7:$A$18,0))="","",IF(INDEX('特性清单'!$J$7:$J$18,MATCH(C8,'特性清单'!$A$7:$A$18,0))="","",INDEX('特性清单'!$J$7:$J$18,MATCH(C8,'特性清单'!$A$7:$A$18,0))))</x:f>
      </x:c>
      <x:c r="AI8" s="10"/>
      <x:c r="AJ8" s="13" t="n">
        <x:f>IF(AND(ISNUMBER(U8),U8&gt;=0),1,0)</x:f>
        <x:v>0</x:v>
      </x:c>
      <x:c r="AK8" s="13" t="str">
        <x:f>IF(AE8&lt;&gt;"纳入","",IF(OR(O8="超时",AA8&gt;AH8),1,0))</x:f>
      </x:c>
    </x:row>
    <x:row r="9" ht="25" customHeight="1">
      <x:c r="A9" s="13" t="str">
        <x:v>F01-R1-TR</x:v>
      </x:c>
      <x:c r="B9" s="13" t="str">
        <x:v>F01-R1</x:v>
      </x:c>
      <x:c r="C9" s="13" t="str">
        <x:v>F01</x:v>
      </x:c>
      <x:c r="D9" s="58" t="n">
        <x:v>1</x:v>
      </x:c>
      <x:c r="E9" s="13" t="str">
        <x:v>Trae</x:v>
      </x:c>
      <x:c r="F9" s="10"/>
      <x:c r="G9" s="56"/>
      <x:c r="H9" s="45"/>
      <x:c r="I9" s="45"/>
      <x:c r="J9" s="48"/>
      <x:c r="K9" s="48"/>
      <x:c r="L9" s="48"/>
      <x:c r="M9" s="56"/>
      <x:c r="N9" s="56"/>
      <x:c r="O9" s="10"/>
      <x:c r="P9" s="56"/>
      <x:c r="Q9" s="56"/>
      <x:c r="R9" s="56"/>
      <x:c r="S9" s="10"/>
      <x:c r="T9" s="10"/>
      <x:c r="U9" s="53"/>
      <x:c r="V9" s="10"/>
      <x:c r="W9" s="10"/>
      <x:c r="X9" s="10"/>
      <x:c r="Y9" s="10"/>
      <x:c r="Z9" s="13" t="str">
        <x:f>IF(INDEX('特性清单'!$B$7:$B$18,MATCH(C9,'特性清单'!$A$7:$A$18,0))="","",IF(INDEX('特性清单'!$H$7:$H$18,MATCH(C9,'特性清单'!$A$7:$A$18,0))="","",INDEX('特性清单'!$H$7:$H$18,MATCH(C9,'特性清单'!$A$7:$A$18,0))))</x:f>
      </x:c>
      <x:c r="AA9" s="50" t="str">
        <x:f>IF(AND(COUNT(H9:J9)=3,I9&gt;=H9,J9&gt;=0),ROUND((I9-H9)*1440-J9,2),"")</x:f>
      </x:c>
      <x:c r="AB9" s="51" t="str">
        <x:f>IF(AND(ISNUMBER(P9),ISNUMBER(Z9),Z9&gt;0,P9&gt;=0,P9&lt;=Z9),P9/Z9,"")</x:f>
      </x:c>
      <x:c r="AC9" s="51" t="str">
        <x:f>IF(AND(ISNUMBER(Q9),ISNUMBER(Z9),Z9&gt;0,Q9&gt;=0,Q9&lt;=Z9),Q9/Z9,"")</x:f>
      </x:c>
      <x:c r="AD9" s="13" t="str">
        <x:f>IF(AE9&lt;&gt;"纳入","",IF(AND(O9="完成",AC9=1,R9=0,S9="通过",T9="通过",AA9&lt;=AH9),1,0))</x:f>
      </x:c>
      <x:c r="AE9" s="13" t="str">
        <x:f>IF(O9="","待运行",IF(O9="进行中","进行中",IF(NOT(OR(O9="完成",O9="超时",O9="工具故障",O9="主动终止")),"需核对终态",IF(OR('试点设置'!$C$15&lt;&gt;"齐备",INDEX('特性清单'!$P$7:$P$18,MATCH(C9,'特性清单'!$A$7:$A$18,0))&lt;&gt;"齐备",D9&gt;INDEX('特性清单'!$K$7:$K$18,MATCH(C9,'特性清单'!$A$7:$A$18,0))),"待补齐试验设置",IF(NOT(AND(F9&lt;&gt;"",COUNT(G9:N9)=8,COUNT(P9:R9)=3,S9&lt;&gt;"",T9&lt;&gt;"",V9&lt;&gt;"",X9&lt;&gt;"",Y9&lt;&gt;"",AI9&lt;&gt;"")),"待补齐记录",IF(NOT(AND(G9&gt;=1,G9&lt;=4,MOD(G9,1)=0,I9&gt;=H9,MIN(J9:N9)&gt;=0,MOD(M9,1)=0,MOD(N9,1)=0,AA9&gt;=0,K9&lt;=AA9,L9&lt;=K9,MIN(P9:R9)&gt;=0,MOD(P9,1)=0,MOD(Q9,1)=0,MOD(R9,1)=0,P9&lt;=Z9,Q9&lt;=Z9,OR(S9="通过",S9="失败",S9="未完成"),OR(T9="通过",T9="失败",T9="未完成"),OR(AI9="新手",AI9="偶尔使用",AI9="经常使用"),COUNTIFS($A$7:$A$150,A9)=1)),"需核对数值或ID",IF(OR(AND(O9&lt;&gt;"完成",W9=""),AND(J9&gt;0,W9=""),AND(V9&lt;&gt;"一致",W9="")),"待说明原因",IF(V9&lt;&gt;"一致","条件偏差","纳入"))))))))</x:f>
        <x:v>待运行</x:v>
      </x:c>
      <x:c r="AF9" s="13" t="n">
        <x:f>IF(AE9&lt;&gt;"纳入",0,INDEX('配对比较'!$J$7:$J$42,MATCH(B9,'配对比较'!$A$7:$A$42,0)))</x:f>
        <x:v>0</x:v>
      </x:c>
      <x:c r="AG9" s="13" t="n">
        <x:f>IF(AE9&lt;&gt;"纳入",0,INDEX('配对比较'!$L$7:$L$42,MATCH(B9,'配对比较'!$A$7:$A$42,0)))</x:f>
        <x:v>0</x:v>
      </x:c>
      <x:c r="AH9" s="13" t="str">
        <x:f>IF(INDEX('特性清单'!$B$7:$B$18,MATCH(C9,'特性清单'!$A$7:$A$18,0))="","",IF(INDEX('特性清单'!$J$7:$J$18,MATCH(C9,'特性清单'!$A$7:$A$18,0))="","",INDEX('特性清单'!$J$7:$J$18,MATCH(C9,'特性清单'!$A$7:$A$18,0))))</x:f>
      </x:c>
      <x:c r="AI9" s="10"/>
      <x:c r="AJ9" s="13" t="n">
        <x:f>IF(AND(ISNUMBER(U9),U9&gt;=0),1,0)</x:f>
        <x:v>0</x:v>
      </x:c>
      <x:c r="AK9" s="13" t="str">
        <x:f>IF(AE9&lt;&gt;"纳入","",IF(OR(O9="超时",AA9&gt;AH9),1,0))</x:f>
      </x:c>
    </x:row>
    <x:row r="10" ht="25" customHeight="1">
      <x:c r="A10" s="13" t="str">
        <x:v>F01-R1-CA</x:v>
      </x:c>
      <x:c r="B10" s="13" t="str">
        <x:v>F01-R1</x:v>
      </x:c>
      <x:c r="C10" s="13" t="str">
        <x:v>F01</x:v>
      </x:c>
      <x:c r="D10" s="58" t="n">
        <x:v>1</x:v>
      </x:c>
      <x:c r="E10" s="13" t="str">
        <x:v>CodeArts</x:v>
      </x:c>
      <x:c r="F10" s="10"/>
      <x:c r="G10" s="56"/>
      <x:c r="H10" s="45"/>
      <x:c r="I10" s="45"/>
      <x:c r="J10" s="48"/>
      <x:c r="K10" s="48"/>
      <x:c r="L10" s="48"/>
      <x:c r="M10" s="56"/>
      <x:c r="N10" s="56"/>
      <x:c r="O10" s="10"/>
      <x:c r="P10" s="56"/>
      <x:c r="Q10" s="56"/>
      <x:c r="R10" s="56"/>
      <x:c r="S10" s="10"/>
      <x:c r="T10" s="10"/>
      <x:c r="U10" s="53"/>
      <x:c r="V10" s="10"/>
      <x:c r="W10" s="10"/>
      <x:c r="X10" s="10"/>
      <x:c r="Y10" s="10"/>
      <x:c r="Z10" s="13" t="str">
        <x:f>IF(INDEX('特性清单'!$B$7:$B$18,MATCH(C10,'特性清单'!$A$7:$A$18,0))="","",IF(INDEX('特性清单'!$H$7:$H$18,MATCH(C10,'特性清单'!$A$7:$A$18,0))="","",INDEX('特性清单'!$H$7:$H$18,MATCH(C10,'特性清单'!$A$7:$A$18,0))))</x:f>
      </x:c>
      <x:c r="AA10" s="50" t="str">
        <x:f>IF(AND(COUNT(H10:J10)=3,I10&gt;=H10,J10&gt;=0),ROUND((I10-H10)*1440-J10,2),"")</x:f>
      </x:c>
      <x:c r="AB10" s="51" t="str">
        <x:f>IF(AND(ISNUMBER(P10),ISNUMBER(Z10),Z10&gt;0,P10&gt;=0,P10&lt;=Z10),P10/Z10,"")</x:f>
      </x:c>
      <x:c r="AC10" s="51" t="str">
        <x:f>IF(AND(ISNUMBER(Q10),ISNUMBER(Z10),Z10&gt;0,Q10&gt;=0,Q10&lt;=Z10),Q10/Z10,"")</x:f>
      </x:c>
      <x:c r="AD10" s="13" t="str">
        <x:f>IF(AE10&lt;&gt;"纳入","",IF(AND(O10="完成",AC10=1,R10=0,S10="通过",T10="通过",AA10&lt;=AH10),1,0))</x:f>
      </x:c>
      <x:c r="AE10" s="13" t="str">
        <x:f>IF(O10="","待运行",IF(O10="进行中","进行中",IF(NOT(OR(O10="完成",O10="超时",O10="工具故障",O10="主动终止")),"需核对终态",IF(OR('试点设置'!$C$15&lt;&gt;"齐备",INDEX('特性清单'!$P$7:$P$18,MATCH(C10,'特性清单'!$A$7:$A$18,0))&lt;&gt;"齐备",D10&gt;INDEX('特性清单'!$K$7:$K$18,MATCH(C10,'特性清单'!$A$7:$A$18,0))),"待补齐试验设置",IF(NOT(AND(F10&lt;&gt;"",COUNT(G10:N10)=8,COUNT(P10:R10)=3,S10&lt;&gt;"",T10&lt;&gt;"",V10&lt;&gt;"",X10&lt;&gt;"",Y10&lt;&gt;"",AI10&lt;&gt;"")),"待补齐记录",IF(NOT(AND(G10&gt;=1,G10&lt;=4,MOD(G10,1)=0,I10&gt;=H10,MIN(J10:N10)&gt;=0,MOD(M10,1)=0,MOD(N10,1)=0,AA10&gt;=0,K10&lt;=AA10,L10&lt;=K10,MIN(P10:R10)&gt;=0,MOD(P10,1)=0,MOD(Q10,1)=0,MOD(R10,1)=0,P10&lt;=Z10,Q10&lt;=Z10,OR(S10="通过",S10="失败",S10="未完成"),OR(T10="通过",T10="失败",T10="未完成"),OR(AI10="新手",AI10="偶尔使用",AI10="经常使用"),COUNTIFS($A$7:$A$150,A10)=1)),"需核对数值或ID",IF(OR(AND(O10&lt;&gt;"完成",W10=""),AND(J10&gt;0,W10=""),AND(V10&lt;&gt;"一致",W10="")),"待说明原因",IF(V10&lt;&gt;"一致","条件偏差","纳入"))))))))</x:f>
        <x:v>待运行</x:v>
      </x:c>
      <x:c r="AF10" s="13" t="n">
        <x:f>IF(AE10&lt;&gt;"纳入",0,INDEX('配对比较'!$J$7:$J$42,MATCH(B10,'配对比较'!$A$7:$A$42,0)))</x:f>
        <x:v>0</x:v>
      </x:c>
      <x:c r="AG10" s="13" t="n">
        <x:f>IF(AE10&lt;&gt;"纳入",0,INDEX('配对比较'!$L$7:$L$42,MATCH(B10,'配对比较'!$A$7:$A$42,0)))</x:f>
        <x:v>0</x:v>
      </x:c>
      <x:c r="AH10" s="13" t="str">
        <x:f>IF(INDEX('特性清单'!$B$7:$B$18,MATCH(C10,'特性清单'!$A$7:$A$18,0))="","",IF(INDEX('特性清单'!$J$7:$J$18,MATCH(C10,'特性清单'!$A$7:$A$18,0))="","",INDEX('特性清单'!$J$7:$J$18,MATCH(C10,'特性清单'!$A$7:$A$18,0))))</x:f>
      </x:c>
      <x:c r="AI10" s="10"/>
      <x:c r="AJ10" s="13" t="n">
        <x:f>IF(AND(ISNUMBER(U10),U10&gt;=0),1,0)</x:f>
        <x:v>0</x:v>
      </x:c>
      <x:c r="AK10" s="13" t="str">
        <x:f>IF(AE10&lt;&gt;"纳入","",IF(OR(O10="超时",AA10&gt;AH10),1,0))</x:f>
      </x:c>
    </x:row>
    <x:row r="11" ht="25" customHeight="1">
      <x:c r="A11" s="13" t="str">
        <x:v>F01-R2-CC</x:v>
      </x:c>
      <x:c r="B11" s="13" t="str">
        <x:v>F01-R2</x:v>
      </x:c>
      <x:c r="C11" s="13" t="str">
        <x:v>F01</x:v>
      </x:c>
      <x:c r="D11" s="58" t="n">
        <x:v>2</x:v>
      </x:c>
      <x:c r="E11" s="13" t="str">
        <x:v>Claude Code</x:v>
      </x:c>
      <x:c r="F11" s="10"/>
      <x:c r="G11" s="56"/>
      <x:c r="H11" s="45"/>
      <x:c r="I11" s="45"/>
      <x:c r="J11" s="48"/>
      <x:c r="K11" s="48"/>
      <x:c r="L11" s="48"/>
      <x:c r="M11" s="56"/>
      <x:c r="N11" s="56"/>
      <x:c r="O11" s="10"/>
      <x:c r="P11" s="56"/>
      <x:c r="Q11" s="56"/>
      <x:c r="R11" s="56"/>
      <x:c r="S11" s="10"/>
      <x:c r="T11" s="10"/>
      <x:c r="U11" s="53"/>
      <x:c r="V11" s="10"/>
      <x:c r="W11" s="10"/>
      <x:c r="X11" s="10"/>
      <x:c r="Y11" s="10"/>
      <x:c r="Z11" s="13" t="str">
        <x:f>IF(INDEX('特性清单'!$B$7:$B$18,MATCH(C11,'特性清单'!$A$7:$A$18,0))="","",IF(INDEX('特性清单'!$H$7:$H$18,MATCH(C11,'特性清单'!$A$7:$A$18,0))="","",INDEX('特性清单'!$H$7:$H$18,MATCH(C11,'特性清单'!$A$7:$A$18,0))))</x:f>
      </x:c>
      <x:c r="AA11" s="50" t="str">
        <x:f>IF(AND(COUNT(H11:J11)=3,I11&gt;=H11,J11&gt;=0),ROUND((I11-H11)*1440-J11,2),"")</x:f>
      </x:c>
      <x:c r="AB11" s="51" t="str">
        <x:f>IF(AND(ISNUMBER(P11),ISNUMBER(Z11),Z11&gt;0,P11&gt;=0,P11&lt;=Z11),P11/Z11,"")</x:f>
      </x:c>
      <x:c r="AC11" s="51" t="str">
        <x:f>IF(AND(ISNUMBER(Q11),ISNUMBER(Z11),Z11&gt;0,Q11&gt;=0,Q11&lt;=Z11),Q11/Z11,"")</x:f>
      </x:c>
      <x:c r="AD11" s="13" t="str">
        <x:f>IF(AE11&lt;&gt;"纳入","",IF(AND(O11="完成",AC11=1,R11=0,S11="通过",T11="通过",AA11&lt;=AH11),1,0))</x:f>
      </x:c>
      <x:c r="AE11" s="13" t="str">
        <x:f>IF(O11="","待运行",IF(O11="进行中","进行中",IF(NOT(OR(O11="完成",O11="超时",O11="工具故障",O11="主动终止")),"需核对终态",IF(OR('试点设置'!$C$15&lt;&gt;"齐备",INDEX('特性清单'!$P$7:$P$18,MATCH(C11,'特性清单'!$A$7:$A$18,0))&lt;&gt;"齐备",D11&gt;INDEX('特性清单'!$K$7:$K$18,MATCH(C11,'特性清单'!$A$7:$A$18,0))),"待补齐试验设置",IF(NOT(AND(F11&lt;&gt;"",COUNT(G11:N11)=8,COUNT(P11:R11)=3,S11&lt;&gt;"",T11&lt;&gt;"",V11&lt;&gt;"",X11&lt;&gt;"",Y11&lt;&gt;"",AI11&lt;&gt;"")),"待补齐记录",IF(NOT(AND(G11&gt;=1,G11&lt;=4,MOD(G11,1)=0,I11&gt;=H11,MIN(J11:N11)&gt;=0,MOD(M11,1)=0,MOD(N11,1)=0,AA11&gt;=0,K11&lt;=AA11,L11&lt;=K11,MIN(P11:R11)&gt;=0,MOD(P11,1)=0,MOD(Q11,1)=0,MOD(R11,1)=0,P11&lt;=Z11,Q11&lt;=Z11,OR(S11="通过",S11="失败",S11="未完成"),OR(T11="通过",T11="失败",T11="未完成"),OR(AI11="新手",AI11="偶尔使用",AI11="经常使用"),COUNTIFS($A$7:$A$150,A11)=1)),"需核对数值或ID",IF(OR(AND(O11&lt;&gt;"完成",W11=""),AND(J11&gt;0,W11=""),AND(V11&lt;&gt;"一致",W11="")),"待说明原因",IF(V11&lt;&gt;"一致","条件偏差","纳入"))))))))</x:f>
        <x:v>待运行</x:v>
      </x:c>
      <x:c r="AF11" s="13" t="n">
        <x:f>IF(AE11&lt;&gt;"纳入",0,INDEX('配对比较'!$J$7:$J$42,MATCH(B11,'配对比较'!$A$7:$A$42,0)))</x:f>
        <x:v>0</x:v>
      </x:c>
      <x:c r="AG11" s="13" t="n">
        <x:f>IF(AE11&lt;&gt;"纳入",0,INDEX('配对比较'!$L$7:$L$42,MATCH(B11,'配对比较'!$A$7:$A$42,0)))</x:f>
        <x:v>0</x:v>
      </x:c>
      <x:c r="AH11" s="13" t="str">
        <x:f>IF(INDEX('特性清单'!$B$7:$B$18,MATCH(C11,'特性清单'!$A$7:$A$18,0))="","",IF(INDEX('特性清单'!$J$7:$J$18,MATCH(C11,'特性清单'!$A$7:$A$18,0))="","",INDEX('特性清单'!$J$7:$J$18,MATCH(C11,'特性清单'!$A$7:$A$18,0))))</x:f>
      </x:c>
      <x:c r="AI11" s="10"/>
      <x:c r="AJ11" s="13" t="n">
        <x:f>IF(AND(ISNUMBER(U11),U11&gt;=0),1,0)</x:f>
        <x:v>0</x:v>
      </x:c>
      <x:c r="AK11" s="13" t="str">
        <x:f>IF(AE11&lt;&gt;"纳入","",IF(OR(O11="超时",AA11&gt;AH11),1,0))</x:f>
      </x:c>
    </x:row>
    <x:row r="12" ht="25" customHeight="1">
      <x:c r="A12" s="13" t="str">
        <x:v>F01-R2-CX</x:v>
      </x:c>
      <x:c r="B12" s="13" t="str">
        <x:v>F01-R2</x:v>
      </x:c>
      <x:c r="C12" s="13" t="str">
        <x:v>F01</x:v>
      </x:c>
      <x:c r="D12" s="58" t="n">
        <x:v>2</x:v>
      </x:c>
      <x:c r="E12" s="13" t="str">
        <x:v>Codex</x:v>
      </x:c>
      <x:c r="F12" s="10"/>
      <x:c r="G12" s="56"/>
      <x:c r="H12" s="45"/>
      <x:c r="I12" s="45"/>
      <x:c r="J12" s="48"/>
      <x:c r="K12" s="48"/>
      <x:c r="L12" s="48"/>
      <x:c r="M12" s="56"/>
      <x:c r="N12" s="56"/>
      <x:c r="O12" s="10"/>
      <x:c r="P12" s="56"/>
      <x:c r="Q12" s="56"/>
      <x:c r="R12" s="56"/>
      <x:c r="S12" s="10"/>
      <x:c r="T12" s="10"/>
      <x:c r="U12" s="53"/>
      <x:c r="V12" s="10"/>
      <x:c r="W12" s="10"/>
      <x:c r="X12" s="10"/>
      <x:c r="Y12" s="10"/>
      <x:c r="Z12" s="13" t="str">
        <x:f>IF(INDEX('特性清单'!$B$7:$B$18,MATCH(C12,'特性清单'!$A$7:$A$18,0))="","",IF(INDEX('特性清单'!$H$7:$H$18,MATCH(C12,'特性清单'!$A$7:$A$18,0))="","",INDEX('特性清单'!$H$7:$H$18,MATCH(C12,'特性清单'!$A$7:$A$18,0))))</x:f>
      </x:c>
      <x:c r="AA12" s="50" t="str">
        <x:f>IF(AND(COUNT(H12:J12)=3,I12&gt;=H12,J12&gt;=0),ROUND((I12-H12)*1440-J12,2),"")</x:f>
      </x:c>
      <x:c r="AB12" s="51" t="str">
        <x:f>IF(AND(ISNUMBER(P12),ISNUMBER(Z12),Z12&gt;0,P12&gt;=0,P12&lt;=Z12),P12/Z12,"")</x:f>
      </x:c>
      <x:c r="AC12" s="51" t="str">
        <x:f>IF(AND(ISNUMBER(Q12),ISNUMBER(Z12),Z12&gt;0,Q12&gt;=0,Q12&lt;=Z12),Q12/Z12,"")</x:f>
      </x:c>
      <x:c r="AD12" s="13" t="str">
        <x:f>IF(AE12&lt;&gt;"纳入","",IF(AND(O12="完成",AC12=1,R12=0,S12="通过",T12="通过",AA12&lt;=AH12),1,0))</x:f>
      </x:c>
      <x:c r="AE12" s="13" t="str">
        <x:f>IF(O12="","待运行",IF(O12="进行中","进行中",IF(NOT(OR(O12="完成",O12="超时",O12="工具故障",O12="主动终止")),"需核对终态",IF(OR('试点设置'!$C$15&lt;&gt;"齐备",INDEX('特性清单'!$P$7:$P$18,MATCH(C12,'特性清单'!$A$7:$A$18,0))&lt;&gt;"齐备",D12&gt;INDEX('特性清单'!$K$7:$K$18,MATCH(C12,'特性清单'!$A$7:$A$18,0))),"待补齐试验设置",IF(NOT(AND(F12&lt;&gt;"",COUNT(G12:N12)=8,COUNT(P12:R12)=3,S12&lt;&gt;"",T12&lt;&gt;"",V12&lt;&gt;"",X12&lt;&gt;"",Y12&lt;&gt;"",AI12&lt;&gt;"")),"待补齐记录",IF(NOT(AND(G12&gt;=1,G12&lt;=4,MOD(G12,1)=0,I12&gt;=H12,MIN(J12:N12)&gt;=0,MOD(M12,1)=0,MOD(N12,1)=0,AA12&gt;=0,K12&lt;=AA12,L12&lt;=K12,MIN(P12:R12)&gt;=0,MOD(P12,1)=0,MOD(Q12,1)=0,MOD(R12,1)=0,P12&lt;=Z12,Q12&lt;=Z12,OR(S12="通过",S12="失败",S12="未完成"),OR(T12="通过",T12="失败",T12="未完成"),OR(AI12="新手",AI12="偶尔使用",AI12="经常使用"),COUNTIFS($A$7:$A$150,A12)=1)),"需核对数值或ID",IF(OR(AND(O12&lt;&gt;"完成",W12=""),AND(J12&gt;0,W12=""),AND(V12&lt;&gt;"一致",W12="")),"待说明原因",IF(V12&lt;&gt;"一致","条件偏差","纳入"))))))))</x:f>
        <x:v>待运行</x:v>
      </x:c>
      <x:c r="AF12" s="13" t="n">
        <x:f>IF(AE12&lt;&gt;"纳入",0,INDEX('配对比较'!$J$7:$J$42,MATCH(B12,'配对比较'!$A$7:$A$42,0)))</x:f>
        <x:v>0</x:v>
      </x:c>
      <x:c r="AG12" s="13" t="n">
        <x:f>IF(AE12&lt;&gt;"纳入",0,INDEX('配对比较'!$L$7:$L$42,MATCH(B12,'配对比较'!$A$7:$A$42,0)))</x:f>
        <x:v>0</x:v>
      </x:c>
      <x:c r="AH12" s="13" t="str">
        <x:f>IF(INDEX('特性清单'!$B$7:$B$18,MATCH(C12,'特性清单'!$A$7:$A$18,0))="","",IF(INDEX('特性清单'!$J$7:$J$18,MATCH(C12,'特性清单'!$A$7:$A$18,0))="","",INDEX('特性清单'!$J$7:$J$18,MATCH(C12,'特性清单'!$A$7:$A$18,0))))</x:f>
      </x:c>
      <x:c r="AI12" s="10"/>
      <x:c r="AJ12" s="13" t="n">
        <x:f>IF(AND(ISNUMBER(U12),U12&gt;=0),1,0)</x:f>
        <x:v>0</x:v>
      </x:c>
      <x:c r="AK12" s="13" t="str">
        <x:f>IF(AE12&lt;&gt;"纳入","",IF(OR(O12="超时",AA12&gt;AH12),1,0))</x:f>
      </x:c>
    </x:row>
    <x:row r="13" ht="25" customHeight="1">
      <x:c r="A13" s="13" t="str">
        <x:v>F01-R2-TR</x:v>
      </x:c>
      <x:c r="B13" s="13" t="str">
        <x:v>F01-R2</x:v>
      </x:c>
      <x:c r="C13" s="13" t="str">
        <x:v>F01</x:v>
      </x:c>
      <x:c r="D13" s="58" t="n">
        <x:v>2</x:v>
      </x:c>
      <x:c r="E13" s="13" t="str">
        <x:v>Trae</x:v>
      </x:c>
      <x:c r="F13" s="10"/>
      <x:c r="G13" s="56"/>
      <x:c r="H13" s="45"/>
      <x:c r="I13" s="45"/>
      <x:c r="J13" s="48"/>
      <x:c r="K13" s="48"/>
      <x:c r="L13" s="48"/>
      <x:c r="M13" s="56"/>
      <x:c r="N13" s="56"/>
      <x:c r="O13" s="10"/>
      <x:c r="P13" s="56"/>
      <x:c r="Q13" s="56"/>
      <x:c r="R13" s="56"/>
      <x:c r="S13" s="10"/>
      <x:c r="T13" s="10"/>
      <x:c r="U13" s="53"/>
      <x:c r="V13" s="10"/>
      <x:c r="W13" s="10"/>
      <x:c r="X13" s="10"/>
      <x:c r="Y13" s="10"/>
      <x:c r="Z13" s="13" t="str">
        <x:f>IF(INDEX('特性清单'!$B$7:$B$18,MATCH(C13,'特性清单'!$A$7:$A$18,0))="","",IF(INDEX('特性清单'!$H$7:$H$18,MATCH(C13,'特性清单'!$A$7:$A$18,0))="","",INDEX('特性清单'!$H$7:$H$18,MATCH(C13,'特性清单'!$A$7:$A$18,0))))</x:f>
      </x:c>
      <x:c r="AA13" s="50" t="str">
        <x:f>IF(AND(COUNT(H13:J13)=3,I13&gt;=H13,J13&gt;=0),ROUND((I13-H13)*1440-J13,2),"")</x:f>
      </x:c>
      <x:c r="AB13" s="51" t="str">
        <x:f>IF(AND(ISNUMBER(P13),ISNUMBER(Z13),Z13&gt;0,P13&gt;=0,P13&lt;=Z13),P13/Z13,"")</x:f>
      </x:c>
      <x:c r="AC13" s="51" t="str">
        <x:f>IF(AND(ISNUMBER(Q13),ISNUMBER(Z13),Z13&gt;0,Q13&gt;=0,Q13&lt;=Z13),Q13/Z13,"")</x:f>
      </x:c>
      <x:c r="AD13" s="13" t="str">
        <x:f>IF(AE13&lt;&gt;"纳入","",IF(AND(O13="完成",AC13=1,R13=0,S13="通过",T13="通过",AA13&lt;=AH13),1,0))</x:f>
      </x:c>
      <x:c r="AE13" s="13" t="str">
        <x:f>IF(O13="","待运行",IF(O13="进行中","进行中",IF(NOT(OR(O13="完成",O13="超时",O13="工具故障",O13="主动终止")),"需核对终态",IF(OR('试点设置'!$C$15&lt;&gt;"齐备",INDEX('特性清单'!$P$7:$P$18,MATCH(C13,'特性清单'!$A$7:$A$18,0))&lt;&gt;"齐备",D13&gt;INDEX('特性清单'!$K$7:$K$18,MATCH(C13,'特性清单'!$A$7:$A$18,0))),"待补齐试验设置",IF(NOT(AND(F13&lt;&gt;"",COUNT(G13:N13)=8,COUNT(P13:R13)=3,S13&lt;&gt;"",T13&lt;&gt;"",V13&lt;&gt;"",X13&lt;&gt;"",Y13&lt;&gt;"",AI13&lt;&gt;"")),"待补齐记录",IF(NOT(AND(G13&gt;=1,G13&lt;=4,MOD(G13,1)=0,I13&gt;=H13,MIN(J13:N13)&gt;=0,MOD(M13,1)=0,MOD(N13,1)=0,AA13&gt;=0,K13&lt;=AA13,L13&lt;=K13,MIN(P13:R13)&gt;=0,MOD(P13,1)=0,MOD(Q13,1)=0,MOD(R13,1)=0,P13&lt;=Z13,Q13&lt;=Z13,OR(S13="通过",S13="失败",S13="未完成"),OR(T13="通过",T13="失败",T13="未完成"),OR(AI13="新手",AI13="偶尔使用",AI13="经常使用"),COUNTIFS($A$7:$A$150,A13)=1)),"需核对数值或ID",IF(OR(AND(O13&lt;&gt;"完成",W13=""),AND(J13&gt;0,W13=""),AND(V13&lt;&gt;"一致",W13="")),"待说明原因",IF(V13&lt;&gt;"一致","条件偏差","纳入"))))))))</x:f>
        <x:v>待运行</x:v>
      </x:c>
      <x:c r="AF13" s="13" t="n">
        <x:f>IF(AE13&lt;&gt;"纳入",0,INDEX('配对比较'!$J$7:$J$42,MATCH(B13,'配对比较'!$A$7:$A$42,0)))</x:f>
        <x:v>0</x:v>
      </x:c>
      <x:c r="AG13" s="13" t="n">
        <x:f>IF(AE13&lt;&gt;"纳入",0,INDEX('配对比较'!$L$7:$L$42,MATCH(B13,'配对比较'!$A$7:$A$42,0)))</x:f>
        <x:v>0</x:v>
      </x:c>
      <x:c r="AH13" s="13" t="str">
        <x:f>IF(INDEX('特性清单'!$B$7:$B$18,MATCH(C13,'特性清单'!$A$7:$A$18,0))="","",IF(INDEX('特性清单'!$J$7:$J$18,MATCH(C13,'特性清单'!$A$7:$A$18,0))="","",INDEX('特性清单'!$J$7:$J$18,MATCH(C13,'特性清单'!$A$7:$A$18,0))))</x:f>
      </x:c>
      <x:c r="AI13" s="10"/>
      <x:c r="AJ13" s="13" t="n">
        <x:f>IF(AND(ISNUMBER(U13),U13&gt;=0),1,0)</x:f>
        <x:v>0</x:v>
      </x:c>
      <x:c r="AK13" s="13" t="str">
        <x:f>IF(AE13&lt;&gt;"纳入","",IF(OR(O13="超时",AA13&gt;AH13),1,0))</x:f>
      </x:c>
    </x:row>
    <x:row r="14" ht="25" customHeight="1">
      <x:c r="A14" s="13" t="str">
        <x:v>F01-R2-CA</x:v>
      </x:c>
      <x:c r="B14" s="13" t="str">
        <x:v>F01-R2</x:v>
      </x:c>
      <x:c r="C14" s="13" t="str">
        <x:v>F01</x:v>
      </x:c>
      <x:c r="D14" s="58" t="n">
        <x:v>2</x:v>
      </x:c>
      <x:c r="E14" s="13" t="str">
        <x:v>CodeArts</x:v>
      </x:c>
      <x:c r="F14" s="10"/>
      <x:c r="G14" s="56"/>
      <x:c r="H14" s="45"/>
      <x:c r="I14" s="45"/>
      <x:c r="J14" s="48"/>
      <x:c r="K14" s="48"/>
      <x:c r="L14" s="48"/>
      <x:c r="M14" s="56"/>
      <x:c r="N14" s="56"/>
      <x:c r="O14" s="10"/>
      <x:c r="P14" s="56"/>
      <x:c r="Q14" s="56"/>
      <x:c r="R14" s="56"/>
      <x:c r="S14" s="10"/>
      <x:c r="T14" s="10"/>
      <x:c r="U14" s="53"/>
      <x:c r="V14" s="10"/>
      <x:c r="W14" s="10"/>
      <x:c r="X14" s="10"/>
      <x:c r="Y14" s="10"/>
      <x:c r="Z14" s="13" t="str">
        <x:f>IF(INDEX('特性清单'!$B$7:$B$18,MATCH(C14,'特性清单'!$A$7:$A$18,0))="","",IF(INDEX('特性清单'!$H$7:$H$18,MATCH(C14,'特性清单'!$A$7:$A$18,0))="","",INDEX('特性清单'!$H$7:$H$18,MATCH(C14,'特性清单'!$A$7:$A$18,0))))</x:f>
      </x:c>
      <x:c r="AA14" s="50" t="str">
        <x:f>IF(AND(COUNT(H14:J14)=3,I14&gt;=H14,J14&gt;=0),ROUND((I14-H14)*1440-J14,2),"")</x:f>
      </x:c>
      <x:c r="AB14" s="51" t="str">
        <x:f>IF(AND(ISNUMBER(P14),ISNUMBER(Z14),Z14&gt;0,P14&gt;=0,P14&lt;=Z14),P14/Z14,"")</x:f>
      </x:c>
      <x:c r="AC14" s="51" t="str">
        <x:f>IF(AND(ISNUMBER(Q14),ISNUMBER(Z14),Z14&gt;0,Q14&gt;=0,Q14&lt;=Z14),Q14/Z14,"")</x:f>
      </x:c>
      <x:c r="AD14" s="13" t="str">
        <x:f>IF(AE14&lt;&gt;"纳入","",IF(AND(O14="完成",AC14=1,R14=0,S14="通过",T14="通过",AA14&lt;=AH14),1,0))</x:f>
      </x:c>
      <x:c r="AE14" s="13" t="str">
        <x:f>IF(O14="","待运行",IF(O14="进行中","进行中",IF(NOT(OR(O14="完成",O14="超时",O14="工具故障",O14="主动终止")),"需核对终态",IF(OR('试点设置'!$C$15&lt;&gt;"齐备",INDEX('特性清单'!$P$7:$P$18,MATCH(C14,'特性清单'!$A$7:$A$18,0))&lt;&gt;"齐备",D14&gt;INDEX('特性清单'!$K$7:$K$18,MATCH(C14,'特性清单'!$A$7:$A$18,0))),"待补齐试验设置",IF(NOT(AND(F14&lt;&gt;"",COUNT(G14:N14)=8,COUNT(P14:R14)=3,S14&lt;&gt;"",T14&lt;&gt;"",V14&lt;&gt;"",X14&lt;&gt;"",Y14&lt;&gt;"",AI14&lt;&gt;"")),"待补齐记录",IF(NOT(AND(G14&gt;=1,G14&lt;=4,MOD(G14,1)=0,I14&gt;=H14,MIN(J14:N14)&gt;=0,MOD(M14,1)=0,MOD(N14,1)=0,AA14&gt;=0,K14&lt;=AA14,L14&lt;=K14,MIN(P14:R14)&gt;=0,MOD(P14,1)=0,MOD(Q14,1)=0,MOD(R14,1)=0,P14&lt;=Z14,Q14&lt;=Z14,OR(S14="通过",S14="失败",S14="未完成"),OR(T14="通过",T14="失败",T14="未完成"),OR(AI14="新手",AI14="偶尔使用",AI14="经常使用"),COUNTIFS($A$7:$A$150,A14)=1)),"需核对数值或ID",IF(OR(AND(O14&lt;&gt;"完成",W14=""),AND(J14&gt;0,W14=""),AND(V14&lt;&gt;"一致",W14="")),"待说明原因",IF(V14&lt;&gt;"一致","条件偏差","纳入"))))))))</x:f>
        <x:v>待运行</x:v>
      </x:c>
      <x:c r="AF14" s="13" t="n">
        <x:f>IF(AE14&lt;&gt;"纳入",0,INDEX('配对比较'!$J$7:$J$42,MATCH(B14,'配对比较'!$A$7:$A$42,0)))</x:f>
        <x:v>0</x:v>
      </x:c>
      <x:c r="AG14" s="13" t="n">
        <x:f>IF(AE14&lt;&gt;"纳入",0,INDEX('配对比较'!$L$7:$L$42,MATCH(B14,'配对比较'!$A$7:$A$42,0)))</x:f>
        <x:v>0</x:v>
      </x:c>
      <x:c r="AH14" s="13" t="str">
        <x:f>IF(INDEX('特性清单'!$B$7:$B$18,MATCH(C14,'特性清单'!$A$7:$A$18,0))="","",IF(INDEX('特性清单'!$J$7:$J$18,MATCH(C14,'特性清单'!$A$7:$A$18,0))="","",INDEX('特性清单'!$J$7:$J$18,MATCH(C14,'特性清单'!$A$7:$A$18,0))))</x:f>
      </x:c>
      <x:c r="AI14" s="10"/>
      <x:c r="AJ14" s="13" t="n">
        <x:f>IF(AND(ISNUMBER(U14),U14&gt;=0),1,0)</x:f>
        <x:v>0</x:v>
      </x:c>
      <x:c r="AK14" s="13" t="str">
        <x:f>IF(AE14&lt;&gt;"纳入","",IF(OR(O14="超时",AA14&gt;AH14),1,0))</x:f>
      </x:c>
    </x:row>
    <x:row r="15" ht="25" customHeight="1">
      <x:c r="A15" s="13" t="str">
        <x:v>F01-R3-CC</x:v>
      </x:c>
      <x:c r="B15" s="13" t="str">
        <x:v>F01-R3</x:v>
      </x:c>
      <x:c r="C15" s="13" t="str">
        <x:v>F01</x:v>
      </x:c>
      <x:c r="D15" s="58" t="n">
        <x:v>3</x:v>
      </x:c>
      <x:c r="E15" s="13" t="str">
        <x:v>Claude Code</x:v>
      </x:c>
      <x:c r="F15" s="10"/>
      <x:c r="G15" s="56"/>
      <x:c r="H15" s="45"/>
      <x:c r="I15" s="45"/>
      <x:c r="J15" s="48"/>
      <x:c r="K15" s="48"/>
      <x:c r="L15" s="48"/>
      <x:c r="M15" s="56"/>
      <x:c r="N15" s="56"/>
      <x:c r="O15" s="10"/>
      <x:c r="P15" s="56"/>
      <x:c r="Q15" s="56"/>
      <x:c r="R15" s="56"/>
      <x:c r="S15" s="10"/>
      <x:c r="T15" s="10"/>
      <x:c r="U15" s="53"/>
      <x:c r="V15" s="10"/>
      <x:c r="W15" s="10"/>
      <x:c r="X15" s="10"/>
      <x:c r="Y15" s="10"/>
      <x:c r="Z15" s="13" t="str">
        <x:f>IF(INDEX('特性清单'!$B$7:$B$18,MATCH(C15,'特性清单'!$A$7:$A$18,0))="","",IF(INDEX('特性清单'!$H$7:$H$18,MATCH(C15,'特性清单'!$A$7:$A$18,0))="","",INDEX('特性清单'!$H$7:$H$18,MATCH(C15,'特性清单'!$A$7:$A$18,0))))</x:f>
      </x:c>
      <x:c r="AA15" s="50" t="str">
        <x:f>IF(AND(COUNT(H15:J15)=3,I15&gt;=H15,J15&gt;=0),ROUND((I15-H15)*1440-J15,2),"")</x:f>
      </x:c>
      <x:c r="AB15" s="51" t="str">
        <x:f>IF(AND(ISNUMBER(P15),ISNUMBER(Z15),Z15&gt;0,P15&gt;=0,P15&lt;=Z15),P15/Z15,"")</x:f>
      </x:c>
      <x:c r="AC15" s="51" t="str">
        <x:f>IF(AND(ISNUMBER(Q15),ISNUMBER(Z15),Z15&gt;0,Q15&gt;=0,Q15&lt;=Z15),Q15/Z15,"")</x:f>
      </x:c>
      <x:c r="AD15" s="13" t="str">
        <x:f>IF(AE15&lt;&gt;"纳入","",IF(AND(O15="完成",AC15=1,R15=0,S15="通过",T15="通过",AA15&lt;=AH15),1,0))</x:f>
      </x:c>
      <x:c r="AE15" s="13" t="str">
        <x:f>IF(O15="","待运行",IF(O15="进行中","进行中",IF(NOT(OR(O15="完成",O15="超时",O15="工具故障",O15="主动终止")),"需核对终态",IF(OR('试点设置'!$C$15&lt;&gt;"齐备",INDEX('特性清单'!$P$7:$P$18,MATCH(C15,'特性清单'!$A$7:$A$18,0))&lt;&gt;"齐备",D15&gt;INDEX('特性清单'!$K$7:$K$18,MATCH(C15,'特性清单'!$A$7:$A$18,0))),"待补齐试验设置",IF(NOT(AND(F15&lt;&gt;"",COUNT(G15:N15)=8,COUNT(P15:R15)=3,S15&lt;&gt;"",T15&lt;&gt;"",V15&lt;&gt;"",X15&lt;&gt;"",Y15&lt;&gt;"",AI15&lt;&gt;"")),"待补齐记录",IF(NOT(AND(G15&gt;=1,G15&lt;=4,MOD(G15,1)=0,I15&gt;=H15,MIN(J15:N15)&gt;=0,MOD(M15,1)=0,MOD(N15,1)=0,AA15&gt;=0,K15&lt;=AA15,L15&lt;=K15,MIN(P15:R15)&gt;=0,MOD(P15,1)=0,MOD(Q15,1)=0,MOD(R15,1)=0,P15&lt;=Z15,Q15&lt;=Z15,OR(S15="通过",S15="失败",S15="未完成"),OR(T15="通过",T15="失败",T15="未完成"),OR(AI15="新手",AI15="偶尔使用",AI15="经常使用"),COUNTIFS($A$7:$A$150,A15)=1)),"需核对数值或ID",IF(OR(AND(O15&lt;&gt;"完成",W15=""),AND(J15&gt;0,W15=""),AND(V15&lt;&gt;"一致",W15="")),"待说明原因",IF(V15&lt;&gt;"一致","条件偏差","纳入"))))))))</x:f>
        <x:v>待运行</x:v>
      </x:c>
      <x:c r="AF15" s="13" t="n">
        <x:f>IF(AE15&lt;&gt;"纳入",0,INDEX('配对比较'!$J$7:$J$42,MATCH(B15,'配对比较'!$A$7:$A$42,0)))</x:f>
        <x:v>0</x:v>
      </x:c>
      <x:c r="AG15" s="13" t="n">
        <x:f>IF(AE15&lt;&gt;"纳入",0,INDEX('配对比较'!$L$7:$L$42,MATCH(B15,'配对比较'!$A$7:$A$42,0)))</x:f>
        <x:v>0</x:v>
      </x:c>
      <x:c r="AH15" s="13" t="str">
        <x:f>IF(INDEX('特性清单'!$B$7:$B$18,MATCH(C15,'特性清单'!$A$7:$A$18,0))="","",IF(INDEX('特性清单'!$J$7:$J$18,MATCH(C15,'特性清单'!$A$7:$A$18,0))="","",INDEX('特性清单'!$J$7:$J$18,MATCH(C15,'特性清单'!$A$7:$A$18,0))))</x:f>
      </x:c>
      <x:c r="AI15" s="10"/>
      <x:c r="AJ15" s="13" t="n">
        <x:f>IF(AND(ISNUMBER(U15),U15&gt;=0),1,0)</x:f>
        <x:v>0</x:v>
      </x:c>
      <x:c r="AK15" s="13" t="str">
        <x:f>IF(AE15&lt;&gt;"纳入","",IF(OR(O15="超时",AA15&gt;AH15),1,0))</x:f>
      </x:c>
    </x:row>
    <x:row r="16" ht="25" customHeight="1">
      <x:c r="A16" s="13" t="str">
        <x:v>F01-R3-CX</x:v>
      </x:c>
      <x:c r="B16" s="13" t="str">
        <x:v>F01-R3</x:v>
      </x:c>
      <x:c r="C16" s="13" t="str">
        <x:v>F01</x:v>
      </x:c>
      <x:c r="D16" s="58" t="n">
        <x:v>3</x:v>
      </x:c>
      <x:c r="E16" s="13" t="str">
        <x:v>Codex</x:v>
      </x:c>
      <x:c r="F16" s="10"/>
      <x:c r="G16" s="56"/>
      <x:c r="H16" s="45"/>
      <x:c r="I16" s="45"/>
      <x:c r="J16" s="48"/>
      <x:c r="K16" s="48"/>
      <x:c r="L16" s="48"/>
      <x:c r="M16" s="56"/>
      <x:c r="N16" s="56"/>
      <x:c r="O16" s="10"/>
      <x:c r="P16" s="56"/>
      <x:c r="Q16" s="56"/>
      <x:c r="R16" s="56"/>
      <x:c r="S16" s="10"/>
      <x:c r="T16" s="10"/>
      <x:c r="U16" s="53"/>
      <x:c r="V16" s="10"/>
      <x:c r="W16" s="10"/>
      <x:c r="X16" s="10"/>
      <x:c r="Y16" s="10"/>
      <x:c r="Z16" s="13" t="str">
        <x:f>IF(INDEX('特性清单'!$B$7:$B$18,MATCH(C16,'特性清单'!$A$7:$A$18,0))="","",IF(INDEX('特性清单'!$H$7:$H$18,MATCH(C16,'特性清单'!$A$7:$A$18,0))="","",INDEX('特性清单'!$H$7:$H$18,MATCH(C16,'特性清单'!$A$7:$A$18,0))))</x:f>
      </x:c>
      <x:c r="AA16" s="50" t="str">
        <x:f>IF(AND(COUNT(H16:J16)=3,I16&gt;=H16,J16&gt;=0),ROUND((I16-H16)*1440-J16,2),"")</x:f>
      </x:c>
      <x:c r="AB16" s="51" t="str">
        <x:f>IF(AND(ISNUMBER(P16),ISNUMBER(Z16),Z16&gt;0,P16&gt;=0,P16&lt;=Z16),P16/Z16,"")</x:f>
      </x:c>
      <x:c r="AC16" s="51" t="str">
        <x:f>IF(AND(ISNUMBER(Q16),ISNUMBER(Z16),Z16&gt;0,Q16&gt;=0,Q16&lt;=Z16),Q16/Z16,"")</x:f>
      </x:c>
      <x:c r="AD16" s="13" t="str">
        <x:f>IF(AE16&lt;&gt;"纳入","",IF(AND(O16="完成",AC16=1,R16=0,S16="通过",T16="通过",AA16&lt;=AH16),1,0))</x:f>
      </x:c>
      <x:c r="AE16" s="13" t="str">
        <x:f>IF(O16="","待运行",IF(O16="进行中","进行中",IF(NOT(OR(O16="完成",O16="超时",O16="工具故障",O16="主动终止")),"需核对终态",IF(OR('试点设置'!$C$15&lt;&gt;"齐备",INDEX('特性清单'!$P$7:$P$18,MATCH(C16,'特性清单'!$A$7:$A$18,0))&lt;&gt;"齐备",D16&gt;INDEX('特性清单'!$K$7:$K$18,MATCH(C16,'特性清单'!$A$7:$A$18,0))),"待补齐试验设置",IF(NOT(AND(F16&lt;&gt;"",COUNT(G16:N16)=8,COUNT(P16:R16)=3,S16&lt;&gt;"",T16&lt;&gt;"",V16&lt;&gt;"",X16&lt;&gt;"",Y16&lt;&gt;"",AI16&lt;&gt;"")),"待补齐记录",IF(NOT(AND(G16&gt;=1,G16&lt;=4,MOD(G16,1)=0,I16&gt;=H16,MIN(J16:N16)&gt;=0,MOD(M16,1)=0,MOD(N16,1)=0,AA16&gt;=0,K16&lt;=AA16,L16&lt;=K16,MIN(P16:R16)&gt;=0,MOD(P16,1)=0,MOD(Q16,1)=0,MOD(R16,1)=0,P16&lt;=Z16,Q16&lt;=Z16,OR(S16="通过",S16="失败",S16="未完成"),OR(T16="通过",T16="失败",T16="未完成"),OR(AI16="新手",AI16="偶尔使用",AI16="经常使用"),COUNTIFS($A$7:$A$150,A16)=1)),"需核对数值或ID",IF(OR(AND(O16&lt;&gt;"完成",W16=""),AND(J16&gt;0,W16=""),AND(V16&lt;&gt;"一致",W16="")),"待说明原因",IF(V16&lt;&gt;"一致","条件偏差","纳入"))))))))</x:f>
        <x:v>待运行</x:v>
      </x:c>
      <x:c r="AF16" s="13" t="n">
        <x:f>IF(AE16&lt;&gt;"纳入",0,INDEX('配对比较'!$J$7:$J$42,MATCH(B16,'配对比较'!$A$7:$A$42,0)))</x:f>
        <x:v>0</x:v>
      </x:c>
      <x:c r="AG16" s="13" t="n">
        <x:f>IF(AE16&lt;&gt;"纳入",0,INDEX('配对比较'!$L$7:$L$42,MATCH(B16,'配对比较'!$A$7:$A$42,0)))</x:f>
        <x:v>0</x:v>
      </x:c>
      <x:c r="AH16" s="13" t="str">
        <x:f>IF(INDEX('特性清单'!$B$7:$B$18,MATCH(C16,'特性清单'!$A$7:$A$18,0))="","",IF(INDEX('特性清单'!$J$7:$J$18,MATCH(C16,'特性清单'!$A$7:$A$18,0))="","",INDEX('特性清单'!$J$7:$J$18,MATCH(C16,'特性清单'!$A$7:$A$18,0))))</x:f>
      </x:c>
      <x:c r="AI16" s="10"/>
      <x:c r="AJ16" s="13" t="n">
        <x:f>IF(AND(ISNUMBER(U16),U16&gt;=0),1,0)</x:f>
        <x:v>0</x:v>
      </x:c>
      <x:c r="AK16" s="13" t="str">
        <x:f>IF(AE16&lt;&gt;"纳入","",IF(OR(O16="超时",AA16&gt;AH16),1,0))</x:f>
      </x:c>
    </x:row>
    <x:row r="17" ht="25" customHeight="1">
      <x:c r="A17" s="13" t="str">
        <x:v>F01-R3-TR</x:v>
      </x:c>
      <x:c r="B17" s="13" t="str">
        <x:v>F01-R3</x:v>
      </x:c>
      <x:c r="C17" s="13" t="str">
        <x:v>F01</x:v>
      </x:c>
      <x:c r="D17" s="58" t="n">
        <x:v>3</x:v>
      </x:c>
      <x:c r="E17" s="13" t="str">
        <x:v>Trae</x:v>
      </x:c>
      <x:c r="F17" s="10"/>
      <x:c r="G17" s="56"/>
      <x:c r="H17" s="45"/>
      <x:c r="I17" s="45"/>
      <x:c r="J17" s="48"/>
      <x:c r="K17" s="48"/>
      <x:c r="L17" s="48"/>
      <x:c r="M17" s="56"/>
      <x:c r="N17" s="56"/>
      <x:c r="O17" s="10"/>
      <x:c r="P17" s="56"/>
      <x:c r="Q17" s="56"/>
      <x:c r="R17" s="56"/>
      <x:c r="S17" s="10"/>
      <x:c r="T17" s="10"/>
      <x:c r="U17" s="53"/>
      <x:c r="V17" s="10"/>
      <x:c r="W17" s="10"/>
      <x:c r="X17" s="10"/>
      <x:c r="Y17" s="10"/>
      <x:c r="Z17" s="13" t="str">
        <x:f>IF(INDEX('特性清单'!$B$7:$B$18,MATCH(C17,'特性清单'!$A$7:$A$18,0))="","",IF(INDEX('特性清单'!$H$7:$H$18,MATCH(C17,'特性清单'!$A$7:$A$18,0))="","",INDEX('特性清单'!$H$7:$H$18,MATCH(C17,'特性清单'!$A$7:$A$18,0))))</x:f>
      </x:c>
      <x:c r="AA17" s="50" t="str">
        <x:f>IF(AND(COUNT(H17:J17)=3,I17&gt;=H17,J17&gt;=0),ROUND((I17-H17)*1440-J17,2),"")</x:f>
      </x:c>
      <x:c r="AB17" s="51" t="str">
        <x:f>IF(AND(ISNUMBER(P17),ISNUMBER(Z17),Z17&gt;0,P17&gt;=0,P17&lt;=Z17),P17/Z17,"")</x:f>
      </x:c>
      <x:c r="AC17" s="51" t="str">
        <x:f>IF(AND(ISNUMBER(Q17),ISNUMBER(Z17),Z17&gt;0,Q17&gt;=0,Q17&lt;=Z17),Q17/Z17,"")</x:f>
      </x:c>
      <x:c r="AD17" s="13" t="str">
        <x:f>IF(AE17&lt;&gt;"纳入","",IF(AND(O17="完成",AC17=1,R17=0,S17="通过",T17="通过",AA17&lt;=AH17),1,0))</x:f>
      </x:c>
      <x:c r="AE17" s="13" t="str">
        <x:f>IF(O17="","待运行",IF(O17="进行中","进行中",IF(NOT(OR(O17="完成",O17="超时",O17="工具故障",O17="主动终止")),"需核对终态",IF(OR('试点设置'!$C$15&lt;&gt;"齐备",INDEX('特性清单'!$P$7:$P$18,MATCH(C17,'特性清单'!$A$7:$A$18,0))&lt;&gt;"齐备",D17&gt;INDEX('特性清单'!$K$7:$K$18,MATCH(C17,'特性清单'!$A$7:$A$18,0))),"待补齐试验设置",IF(NOT(AND(F17&lt;&gt;"",COUNT(G17:N17)=8,COUNT(P17:R17)=3,S17&lt;&gt;"",T17&lt;&gt;"",V17&lt;&gt;"",X17&lt;&gt;"",Y17&lt;&gt;"",AI17&lt;&gt;"")),"待补齐记录",IF(NOT(AND(G17&gt;=1,G17&lt;=4,MOD(G17,1)=0,I17&gt;=H17,MIN(J17:N17)&gt;=0,MOD(M17,1)=0,MOD(N17,1)=0,AA17&gt;=0,K17&lt;=AA17,L17&lt;=K17,MIN(P17:R17)&gt;=0,MOD(P17,1)=0,MOD(Q17,1)=0,MOD(R17,1)=0,P17&lt;=Z17,Q17&lt;=Z17,OR(S17="通过",S17="失败",S17="未完成"),OR(T17="通过",T17="失败",T17="未完成"),OR(AI17="新手",AI17="偶尔使用",AI17="经常使用"),COUNTIFS($A$7:$A$150,A17)=1)),"需核对数值或ID",IF(OR(AND(O17&lt;&gt;"完成",W17=""),AND(J17&gt;0,W17=""),AND(V17&lt;&gt;"一致",W17="")),"待说明原因",IF(V17&lt;&gt;"一致","条件偏差","纳入"))))))))</x:f>
        <x:v>待运行</x:v>
      </x:c>
      <x:c r="AF17" s="13" t="n">
        <x:f>IF(AE17&lt;&gt;"纳入",0,INDEX('配对比较'!$J$7:$J$42,MATCH(B17,'配对比较'!$A$7:$A$42,0)))</x:f>
        <x:v>0</x:v>
      </x:c>
      <x:c r="AG17" s="13" t="n">
        <x:f>IF(AE17&lt;&gt;"纳入",0,INDEX('配对比较'!$L$7:$L$42,MATCH(B17,'配对比较'!$A$7:$A$42,0)))</x:f>
        <x:v>0</x:v>
      </x:c>
      <x:c r="AH17" s="13" t="str">
        <x:f>IF(INDEX('特性清单'!$B$7:$B$18,MATCH(C17,'特性清单'!$A$7:$A$18,0))="","",IF(INDEX('特性清单'!$J$7:$J$18,MATCH(C17,'特性清单'!$A$7:$A$18,0))="","",INDEX('特性清单'!$J$7:$J$18,MATCH(C17,'特性清单'!$A$7:$A$18,0))))</x:f>
      </x:c>
      <x:c r="AI17" s="10"/>
      <x:c r="AJ17" s="13" t="n">
        <x:f>IF(AND(ISNUMBER(U17),U17&gt;=0),1,0)</x:f>
        <x:v>0</x:v>
      </x:c>
      <x:c r="AK17" s="13" t="str">
        <x:f>IF(AE17&lt;&gt;"纳入","",IF(OR(O17="超时",AA17&gt;AH17),1,0))</x:f>
      </x:c>
    </x:row>
    <x:row r="18" ht="25" customHeight="1">
      <x:c r="A18" s="13" t="str">
        <x:v>F01-R3-CA</x:v>
      </x:c>
      <x:c r="B18" s="13" t="str">
        <x:v>F01-R3</x:v>
      </x:c>
      <x:c r="C18" s="13" t="str">
        <x:v>F01</x:v>
      </x:c>
      <x:c r="D18" s="58" t="n">
        <x:v>3</x:v>
      </x:c>
      <x:c r="E18" s="13" t="str">
        <x:v>CodeArts</x:v>
      </x:c>
      <x:c r="F18" s="10"/>
      <x:c r="G18" s="56"/>
      <x:c r="H18" s="45"/>
      <x:c r="I18" s="45"/>
      <x:c r="J18" s="48"/>
      <x:c r="K18" s="48"/>
      <x:c r="L18" s="48"/>
      <x:c r="M18" s="56"/>
      <x:c r="N18" s="56"/>
      <x:c r="O18" s="10"/>
      <x:c r="P18" s="56"/>
      <x:c r="Q18" s="56"/>
      <x:c r="R18" s="56"/>
      <x:c r="S18" s="10"/>
      <x:c r="T18" s="10"/>
      <x:c r="U18" s="53"/>
      <x:c r="V18" s="10"/>
      <x:c r="W18" s="10"/>
      <x:c r="X18" s="10"/>
      <x:c r="Y18" s="10"/>
      <x:c r="Z18" s="13" t="str">
        <x:f>IF(INDEX('特性清单'!$B$7:$B$18,MATCH(C18,'特性清单'!$A$7:$A$18,0))="","",IF(INDEX('特性清单'!$H$7:$H$18,MATCH(C18,'特性清单'!$A$7:$A$18,0))="","",INDEX('特性清单'!$H$7:$H$18,MATCH(C18,'特性清单'!$A$7:$A$18,0))))</x:f>
      </x:c>
      <x:c r="AA18" s="50" t="str">
        <x:f>IF(AND(COUNT(H18:J18)=3,I18&gt;=H18,J18&gt;=0),ROUND((I18-H18)*1440-J18,2),"")</x:f>
      </x:c>
      <x:c r="AB18" s="51" t="str">
        <x:f>IF(AND(ISNUMBER(P18),ISNUMBER(Z18),Z18&gt;0,P18&gt;=0,P18&lt;=Z18),P18/Z18,"")</x:f>
      </x:c>
      <x:c r="AC18" s="51" t="str">
        <x:f>IF(AND(ISNUMBER(Q18),ISNUMBER(Z18),Z18&gt;0,Q18&gt;=0,Q18&lt;=Z18),Q18/Z18,"")</x:f>
      </x:c>
      <x:c r="AD18" s="13" t="str">
        <x:f>IF(AE18&lt;&gt;"纳入","",IF(AND(O18="完成",AC18=1,R18=0,S18="通过",T18="通过",AA18&lt;=AH18),1,0))</x:f>
      </x:c>
      <x:c r="AE18" s="13" t="str">
        <x:f>IF(O18="","待运行",IF(O18="进行中","进行中",IF(NOT(OR(O18="完成",O18="超时",O18="工具故障",O18="主动终止")),"需核对终态",IF(OR('试点设置'!$C$15&lt;&gt;"齐备",INDEX('特性清单'!$P$7:$P$18,MATCH(C18,'特性清单'!$A$7:$A$18,0))&lt;&gt;"齐备",D18&gt;INDEX('特性清单'!$K$7:$K$18,MATCH(C18,'特性清单'!$A$7:$A$18,0))),"待补齐试验设置",IF(NOT(AND(F18&lt;&gt;"",COUNT(G18:N18)=8,COUNT(P18:R18)=3,S18&lt;&gt;"",T18&lt;&gt;"",V18&lt;&gt;"",X18&lt;&gt;"",Y18&lt;&gt;"",AI18&lt;&gt;"")),"待补齐记录",IF(NOT(AND(G18&gt;=1,G18&lt;=4,MOD(G18,1)=0,I18&gt;=H18,MIN(J18:N18)&gt;=0,MOD(M18,1)=0,MOD(N18,1)=0,AA18&gt;=0,K18&lt;=AA18,L18&lt;=K18,MIN(P18:R18)&gt;=0,MOD(P18,1)=0,MOD(Q18,1)=0,MOD(R18,1)=0,P18&lt;=Z18,Q18&lt;=Z18,OR(S18="通过",S18="失败",S18="未完成"),OR(T18="通过",T18="失败",T18="未完成"),OR(AI18="新手",AI18="偶尔使用",AI18="经常使用"),COUNTIFS($A$7:$A$150,A18)=1)),"需核对数值或ID",IF(OR(AND(O18&lt;&gt;"完成",W18=""),AND(J18&gt;0,W18=""),AND(V18&lt;&gt;"一致",W18="")),"待说明原因",IF(V18&lt;&gt;"一致","条件偏差","纳入"))))))))</x:f>
        <x:v>待运行</x:v>
      </x:c>
      <x:c r="AF18" s="13" t="n">
        <x:f>IF(AE18&lt;&gt;"纳入",0,INDEX('配对比较'!$J$7:$J$42,MATCH(B18,'配对比较'!$A$7:$A$42,0)))</x:f>
        <x:v>0</x:v>
      </x:c>
      <x:c r="AG18" s="13" t="n">
        <x:f>IF(AE18&lt;&gt;"纳入",0,INDEX('配对比较'!$L$7:$L$42,MATCH(B18,'配对比较'!$A$7:$A$42,0)))</x:f>
        <x:v>0</x:v>
      </x:c>
      <x:c r="AH18" s="13" t="str">
        <x:f>IF(INDEX('特性清单'!$B$7:$B$18,MATCH(C18,'特性清单'!$A$7:$A$18,0))="","",IF(INDEX('特性清单'!$J$7:$J$18,MATCH(C18,'特性清单'!$A$7:$A$18,0))="","",INDEX('特性清单'!$J$7:$J$18,MATCH(C18,'特性清单'!$A$7:$A$18,0))))</x:f>
      </x:c>
      <x:c r="AI18" s="10"/>
      <x:c r="AJ18" s="13" t="n">
        <x:f>IF(AND(ISNUMBER(U18),U18&gt;=0),1,0)</x:f>
        <x:v>0</x:v>
      </x:c>
      <x:c r="AK18" s="13" t="str">
        <x:f>IF(AE18&lt;&gt;"纳入","",IF(OR(O18="超时",AA18&gt;AH18),1,0))</x:f>
      </x:c>
    </x:row>
    <x:row r="19" ht="25" customHeight="1">
      <x:c r="A19" s="13" t="str">
        <x:v>F02-R1-CC</x:v>
      </x:c>
      <x:c r="B19" s="13" t="str">
        <x:v>F02-R1</x:v>
      </x:c>
      <x:c r="C19" s="13" t="str">
        <x:v>F02</x:v>
      </x:c>
      <x:c r="D19" s="58" t="n">
        <x:v>1</x:v>
      </x:c>
      <x:c r="E19" s="13" t="str">
        <x:v>Claude Code</x:v>
      </x:c>
      <x:c r="F19" s="10"/>
      <x:c r="G19" s="56"/>
      <x:c r="H19" s="45"/>
      <x:c r="I19" s="45"/>
      <x:c r="J19" s="48"/>
      <x:c r="K19" s="48"/>
      <x:c r="L19" s="48"/>
      <x:c r="M19" s="56"/>
      <x:c r="N19" s="56"/>
      <x:c r="O19" s="10"/>
      <x:c r="P19" s="56"/>
      <x:c r="Q19" s="56"/>
      <x:c r="R19" s="56"/>
      <x:c r="S19" s="10"/>
      <x:c r="T19" s="10"/>
      <x:c r="U19" s="53"/>
      <x:c r="V19" s="10"/>
      <x:c r="W19" s="10"/>
      <x:c r="X19" s="10"/>
      <x:c r="Y19" s="10"/>
      <x:c r="Z19" s="13" t="str">
        <x:f>IF(INDEX('特性清单'!$B$7:$B$18,MATCH(C19,'特性清单'!$A$7:$A$18,0))="","",IF(INDEX('特性清单'!$H$7:$H$18,MATCH(C19,'特性清单'!$A$7:$A$18,0))="","",INDEX('特性清单'!$H$7:$H$18,MATCH(C19,'特性清单'!$A$7:$A$18,0))))</x:f>
      </x:c>
      <x:c r="AA19" s="50" t="str">
        <x:f>IF(AND(COUNT(H19:J19)=3,I19&gt;=H19,J19&gt;=0),ROUND((I19-H19)*1440-J19,2),"")</x:f>
      </x:c>
      <x:c r="AB19" s="51" t="str">
        <x:f>IF(AND(ISNUMBER(P19),ISNUMBER(Z19),Z19&gt;0,P19&gt;=0,P19&lt;=Z19),P19/Z19,"")</x:f>
      </x:c>
      <x:c r="AC19" s="51" t="str">
        <x:f>IF(AND(ISNUMBER(Q19),ISNUMBER(Z19),Z19&gt;0,Q19&gt;=0,Q19&lt;=Z19),Q19/Z19,"")</x:f>
      </x:c>
      <x:c r="AD19" s="13" t="str">
        <x:f>IF(AE19&lt;&gt;"纳入","",IF(AND(O19="完成",AC19=1,R19=0,S19="通过",T19="通过",AA19&lt;=AH19),1,0))</x:f>
      </x:c>
      <x:c r="AE19" s="13" t="str">
        <x:f>IF(O19="","待运行",IF(O19="进行中","进行中",IF(NOT(OR(O19="完成",O19="超时",O19="工具故障",O19="主动终止")),"需核对终态",IF(OR('试点设置'!$C$15&lt;&gt;"齐备",INDEX('特性清单'!$P$7:$P$18,MATCH(C19,'特性清单'!$A$7:$A$18,0))&lt;&gt;"齐备",D19&gt;INDEX('特性清单'!$K$7:$K$18,MATCH(C19,'特性清单'!$A$7:$A$18,0))),"待补齐试验设置",IF(NOT(AND(F19&lt;&gt;"",COUNT(G19:N19)=8,COUNT(P19:R19)=3,S19&lt;&gt;"",T19&lt;&gt;"",V19&lt;&gt;"",X19&lt;&gt;"",Y19&lt;&gt;"",AI19&lt;&gt;"")),"待补齐记录",IF(NOT(AND(G19&gt;=1,G19&lt;=4,MOD(G19,1)=0,I19&gt;=H19,MIN(J19:N19)&gt;=0,MOD(M19,1)=0,MOD(N19,1)=0,AA19&gt;=0,K19&lt;=AA19,L19&lt;=K19,MIN(P19:R19)&gt;=0,MOD(P19,1)=0,MOD(Q19,1)=0,MOD(R19,1)=0,P19&lt;=Z19,Q19&lt;=Z19,OR(S19="通过",S19="失败",S19="未完成"),OR(T19="通过",T19="失败",T19="未完成"),OR(AI19="新手",AI19="偶尔使用",AI19="经常使用"),COUNTIFS($A$7:$A$150,A19)=1)),"需核对数值或ID",IF(OR(AND(O19&lt;&gt;"完成",W19=""),AND(J19&gt;0,W19=""),AND(V19&lt;&gt;"一致",W19="")),"待说明原因",IF(V19&lt;&gt;"一致","条件偏差","纳入"))))))))</x:f>
        <x:v>待运行</x:v>
      </x:c>
      <x:c r="AF19" s="13" t="n">
        <x:f>IF(AE19&lt;&gt;"纳入",0,INDEX('配对比较'!$J$7:$J$42,MATCH(B19,'配对比较'!$A$7:$A$42,0)))</x:f>
        <x:v>0</x:v>
      </x:c>
      <x:c r="AG19" s="13" t="n">
        <x:f>IF(AE19&lt;&gt;"纳入",0,INDEX('配对比较'!$L$7:$L$42,MATCH(B19,'配对比较'!$A$7:$A$42,0)))</x:f>
        <x:v>0</x:v>
      </x:c>
      <x:c r="AH19" s="13" t="str">
        <x:f>IF(INDEX('特性清单'!$B$7:$B$18,MATCH(C19,'特性清单'!$A$7:$A$18,0))="","",IF(INDEX('特性清单'!$J$7:$J$18,MATCH(C19,'特性清单'!$A$7:$A$18,0))="","",INDEX('特性清单'!$J$7:$J$18,MATCH(C19,'特性清单'!$A$7:$A$18,0))))</x:f>
      </x:c>
      <x:c r="AI19" s="10"/>
      <x:c r="AJ19" s="13" t="n">
        <x:f>IF(AND(ISNUMBER(U19),U19&gt;=0),1,0)</x:f>
        <x:v>0</x:v>
      </x:c>
      <x:c r="AK19" s="13" t="str">
        <x:f>IF(AE19&lt;&gt;"纳入","",IF(OR(O19="超时",AA19&gt;AH19),1,0))</x:f>
      </x:c>
    </x:row>
    <x:row r="20" ht="25" customHeight="1">
      <x:c r="A20" s="13" t="str">
        <x:v>F02-R1-CX</x:v>
      </x:c>
      <x:c r="B20" s="13" t="str">
        <x:v>F02-R1</x:v>
      </x:c>
      <x:c r="C20" s="13" t="str">
        <x:v>F02</x:v>
      </x:c>
      <x:c r="D20" s="58" t="n">
        <x:v>1</x:v>
      </x:c>
      <x:c r="E20" s="13" t="str">
        <x:v>Codex</x:v>
      </x:c>
      <x:c r="F20" s="10"/>
      <x:c r="G20" s="56"/>
      <x:c r="H20" s="45"/>
      <x:c r="I20" s="45"/>
      <x:c r="J20" s="48"/>
      <x:c r="K20" s="48"/>
      <x:c r="L20" s="48"/>
      <x:c r="M20" s="56"/>
      <x:c r="N20" s="56"/>
      <x:c r="O20" s="10"/>
      <x:c r="P20" s="56"/>
      <x:c r="Q20" s="56"/>
      <x:c r="R20" s="56"/>
      <x:c r="S20" s="10"/>
      <x:c r="T20" s="10"/>
      <x:c r="U20" s="53"/>
      <x:c r="V20" s="10"/>
      <x:c r="W20" s="10"/>
      <x:c r="X20" s="10"/>
      <x:c r="Y20" s="10"/>
      <x:c r="Z20" s="13" t="str">
        <x:f>IF(INDEX('特性清单'!$B$7:$B$18,MATCH(C20,'特性清单'!$A$7:$A$18,0))="","",IF(INDEX('特性清单'!$H$7:$H$18,MATCH(C20,'特性清单'!$A$7:$A$18,0))="","",INDEX('特性清单'!$H$7:$H$18,MATCH(C20,'特性清单'!$A$7:$A$18,0))))</x:f>
      </x:c>
      <x:c r="AA20" s="50" t="str">
        <x:f>IF(AND(COUNT(H20:J20)=3,I20&gt;=H20,J20&gt;=0),ROUND((I20-H20)*1440-J20,2),"")</x:f>
      </x:c>
      <x:c r="AB20" s="51" t="str">
        <x:f>IF(AND(ISNUMBER(P20),ISNUMBER(Z20),Z20&gt;0,P20&gt;=0,P20&lt;=Z20),P20/Z20,"")</x:f>
      </x:c>
      <x:c r="AC20" s="51" t="str">
        <x:f>IF(AND(ISNUMBER(Q20),ISNUMBER(Z20),Z20&gt;0,Q20&gt;=0,Q20&lt;=Z20),Q20/Z20,"")</x:f>
      </x:c>
      <x:c r="AD20" s="13" t="str">
        <x:f>IF(AE20&lt;&gt;"纳入","",IF(AND(O20="完成",AC20=1,R20=0,S20="通过",T20="通过",AA20&lt;=AH20),1,0))</x:f>
      </x:c>
      <x:c r="AE20" s="13" t="str">
        <x:f>IF(O20="","待运行",IF(O20="进行中","进行中",IF(NOT(OR(O20="完成",O20="超时",O20="工具故障",O20="主动终止")),"需核对终态",IF(OR('试点设置'!$C$15&lt;&gt;"齐备",INDEX('特性清单'!$P$7:$P$18,MATCH(C20,'特性清单'!$A$7:$A$18,0))&lt;&gt;"齐备",D20&gt;INDEX('特性清单'!$K$7:$K$18,MATCH(C20,'特性清单'!$A$7:$A$18,0))),"待补齐试验设置",IF(NOT(AND(F20&lt;&gt;"",COUNT(G20:N20)=8,COUNT(P20:R20)=3,S20&lt;&gt;"",T20&lt;&gt;"",V20&lt;&gt;"",X20&lt;&gt;"",Y20&lt;&gt;"",AI20&lt;&gt;"")),"待补齐记录",IF(NOT(AND(G20&gt;=1,G20&lt;=4,MOD(G20,1)=0,I20&gt;=H20,MIN(J20:N20)&gt;=0,MOD(M20,1)=0,MOD(N20,1)=0,AA20&gt;=0,K20&lt;=AA20,L20&lt;=K20,MIN(P20:R20)&gt;=0,MOD(P20,1)=0,MOD(Q20,1)=0,MOD(R20,1)=0,P20&lt;=Z20,Q20&lt;=Z20,OR(S20="通过",S20="失败",S20="未完成"),OR(T20="通过",T20="失败",T20="未完成"),OR(AI20="新手",AI20="偶尔使用",AI20="经常使用"),COUNTIFS($A$7:$A$150,A20)=1)),"需核对数值或ID",IF(OR(AND(O20&lt;&gt;"完成",W20=""),AND(J20&gt;0,W20=""),AND(V20&lt;&gt;"一致",W20="")),"待说明原因",IF(V20&lt;&gt;"一致","条件偏差","纳入"))))))))</x:f>
        <x:v>待运行</x:v>
      </x:c>
      <x:c r="AF20" s="13" t="n">
        <x:f>IF(AE20&lt;&gt;"纳入",0,INDEX('配对比较'!$J$7:$J$42,MATCH(B20,'配对比较'!$A$7:$A$42,0)))</x:f>
        <x:v>0</x:v>
      </x:c>
      <x:c r="AG20" s="13" t="n">
        <x:f>IF(AE20&lt;&gt;"纳入",0,INDEX('配对比较'!$L$7:$L$42,MATCH(B20,'配对比较'!$A$7:$A$42,0)))</x:f>
        <x:v>0</x:v>
      </x:c>
      <x:c r="AH20" s="13" t="str">
        <x:f>IF(INDEX('特性清单'!$B$7:$B$18,MATCH(C20,'特性清单'!$A$7:$A$18,0))="","",IF(INDEX('特性清单'!$J$7:$J$18,MATCH(C20,'特性清单'!$A$7:$A$18,0))="","",INDEX('特性清单'!$J$7:$J$18,MATCH(C20,'特性清单'!$A$7:$A$18,0))))</x:f>
      </x:c>
      <x:c r="AI20" s="10"/>
      <x:c r="AJ20" s="13" t="n">
        <x:f>IF(AND(ISNUMBER(U20),U20&gt;=0),1,0)</x:f>
        <x:v>0</x:v>
      </x:c>
      <x:c r="AK20" s="13" t="str">
        <x:f>IF(AE20&lt;&gt;"纳入","",IF(OR(O20="超时",AA20&gt;AH20),1,0))</x:f>
      </x:c>
    </x:row>
    <x:row r="21" ht="25" customHeight="1">
      <x:c r="A21" s="13" t="str">
        <x:v>F02-R1-TR</x:v>
      </x:c>
      <x:c r="B21" s="13" t="str">
        <x:v>F02-R1</x:v>
      </x:c>
      <x:c r="C21" s="13" t="str">
        <x:v>F02</x:v>
      </x:c>
      <x:c r="D21" s="58" t="n">
        <x:v>1</x:v>
      </x:c>
      <x:c r="E21" s="13" t="str">
        <x:v>Trae</x:v>
      </x:c>
      <x:c r="F21" s="10"/>
      <x:c r="G21" s="56"/>
      <x:c r="H21" s="45"/>
      <x:c r="I21" s="45"/>
      <x:c r="J21" s="48"/>
      <x:c r="K21" s="48"/>
      <x:c r="L21" s="48"/>
      <x:c r="M21" s="56"/>
      <x:c r="N21" s="56"/>
      <x:c r="O21" s="10"/>
      <x:c r="P21" s="56"/>
      <x:c r="Q21" s="56"/>
      <x:c r="R21" s="56"/>
      <x:c r="S21" s="10"/>
      <x:c r="T21" s="10"/>
      <x:c r="U21" s="53"/>
      <x:c r="V21" s="10"/>
      <x:c r="W21" s="10"/>
      <x:c r="X21" s="10"/>
      <x:c r="Y21" s="10"/>
      <x:c r="Z21" s="13" t="str">
        <x:f>IF(INDEX('特性清单'!$B$7:$B$18,MATCH(C21,'特性清单'!$A$7:$A$18,0))="","",IF(INDEX('特性清单'!$H$7:$H$18,MATCH(C21,'特性清单'!$A$7:$A$18,0))="","",INDEX('特性清单'!$H$7:$H$18,MATCH(C21,'特性清单'!$A$7:$A$18,0))))</x:f>
      </x:c>
      <x:c r="AA21" s="50" t="str">
        <x:f>IF(AND(COUNT(H21:J21)=3,I21&gt;=H21,J21&gt;=0),ROUND((I21-H21)*1440-J21,2),"")</x:f>
      </x:c>
      <x:c r="AB21" s="51" t="str">
        <x:f>IF(AND(ISNUMBER(P21),ISNUMBER(Z21),Z21&gt;0,P21&gt;=0,P21&lt;=Z21),P21/Z21,"")</x:f>
      </x:c>
      <x:c r="AC21" s="51" t="str">
        <x:f>IF(AND(ISNUMBER(Q21),ISNUMBER(Z21),Z21&gt;0,Q21&gt;=0,Q21&lt;=Z21),Q21/Z21,"")</x:f>
      </x:c>
      <x:c r="AD21" s="13" t="str">
        <x:f>IF(AE21&lt;&gt;"纳入","",IF(AND(O21="完成",AC21=1,R21=0,S21="通过",T21="通过",AA21&lt;=AH21),1,0))</x:f>
      </x:c>
      <x:c r="AE21" s="13" t="str">
        <x:f>IF(O21="","待运行",IF(O21="进行中","进行中",IF(NOT(OR(O21="完成",O21="超时",O21="工具故障",O21="主动终止")),"需核对终态",IF(OR('试点设置'!$C$15&lt;&gt;"齐备",INDEX('特性清单'!$P$7:$P$18,MATCH(C21,'特性清单'!$A$7:$A$18,0))&lt;&gt;"齐备",D21&gt;INDEX('特性清单'!$K$7:$K$18,MATCH(C21,'特性清单'!$A$7:$A$18,0))),"待补齐试验设置",IF(NOT(AND(F21&lt;&gt;"",COUNT(G21:N21)=8,COUNT(P21:R21)=3,S21&lt;&gt;"",T21&lt;&gt;"",V21&lt;&gt;"",X21&lt;&gt;"",Y21&lt;&gt;"",AI21&lt;&gt;"")),"待补齐记录",IF(NOT(AND(G21&gt;=1,G21&lt;=4,MOD(G21,1)=0,I21&gt;=H21,MIN(J21:N21)&gt;=0,MOD(M21,1)=0,MOD(N21,1)=0,AA21&gt;=0,K21&lt;=AA21,L21&lt;=K21,MIN(P21:R21)&gt;=0,MOD(P21,1)=0,MOD(Q21,1)=0,MOD(R21,1)=0,P21&lt;=Z21,Q21&lt;=Z21,OR(S21="通过",S21="失败",S21="未完成"),OR(T21="通过",T21="失败",T21="未完成"),OR(AI21="新手",AI21="偶尔使用",AI21="经常使用"),COUNTIFS($A$7:$A$150,A21)=1)),"需核对数值或ID",IF(OR(AND(O21&lt;&gt;"完成",W21=""),AND(J21&gt;0,W21=""),AND(V21&lt;&gt;"一致",W21="")),"待说明原因",IF(V21&lt;&gt;"一致","条件偏差","纳入"))))))))</x:f>
        <x:v>待运行</x:v>
      </x:c>
      <x:c r="AF21" s="13" t="n">
        <x:f>IF(AE21&lt;&gt;"纳入",0,INDEX('配对比较'!$J$7:$J$42,MATCH(B21,'配对比较'!$A$7:$A$42,0)))</x:f>
        <x:v>0</x:v>
      </x:c>
      <x:c r="AG21" s="13" t="n">
        <x:f>IF(AE21&lt;&gt;"纳入",0,INDEX('配对比较'!$L$7:$L$42,MATCH(B21,'配对比较'!$A$7:$A$42,0)))</x:f>
        <x:v>0</x:v>
      </x:c>
      <x:c r="AH21" s="13" t="str">
        <x:f>IF(INDEX('特性清单'!$B$7:$B$18,MATCH(C21,'特性清单'!$A$7:$A$18,0))="","",IF(INDEX('特性清单'!$J$7:$J$18,MATCH(C21,'特性清单'!$A$7:$A$18,0))="","",INDEX('特性清单'!$J$7:$J$18,MATCH(C21,'特性清单'!$A$7:$A$18,0))))</x:f>
      </x:c>
      <x:c r="AI21" s="10"/>
      <x:c r="AJ21" s="13" t="n">
        <x:f>IF(AND(ISNUMBER(U21),U21&gt;=0),1,0)</x:f>
        <x:v>0</x:v>
      </x:c>
      <x:c r="AK21" s="13" t="str">
        <x:f>IF(AE21&lt;&gt;"纳入","",IF(OR(O21="超时",AA21&gt;AH21),1,0))</x:f>
      </x:c>
    </x:row>
    <x:row r="22" ht="25" customHeight="1">
      <x:c r="A22" s="13" t="str">
        <x:v>F02-R1-CA</x:v>
      </x:c>
      <x:c r="B22" s="13" t="str">
        <x:v>F02-R1</x:v>
      </x:c>
      <x:c r="C22" s="13" t="str">
        <x:v>F02</x:v>
      </x:c>
      <x:c r="D22" s="58" t="n">
        <x:v>1</x:v>
      </x:c>
      <x:c r="E22" s="13" t="str">
        <x:v>CodeArts</x:v>
      </x:c>
      <x:c r="F22" s="10"/>
      <x:c r="G22" s="56"/>
      <x:c r="H22" s="45"/>
      <x:c r="I22" s="45"/>
      <x:c r="J22" s="48"/>
      <x:c r="K22" s="48"/>
      <x:c r="L22" s="48"/>
      <x:c r="M22" s="56"/>
      <x:c r="N22" s="56"/>
      <x:c r="O22" s="10"/>
      <x:c r="P22" s="56"/>
      <x:c r="Q22" s="56"/>
      <x:c r="R22" s="56"/>
      <x:c r="S22" s="10"/>
      <x:c r="T22" s="10"/>
      <x:c r="U22" s="53"/>
      <x:c r="V22" s="10"/>
      <x:c r="W22" s="10"/>
      <x:c r="X22" s="10"/>
      <x:c r="Y22" s="10"/>
      <x:c r="Z22" s="13" t="str">
        <x:f>IF(INDEX('特性清单'!$B$7:$B$18,MATCH(C22,'特性清单'!$A$7:$A$18,0))="","",IF(INDEX('特性清单'!$H$7:$H$18,MATCH(C22,'特性清单'!$A$7:$A$18,0))="","",INDEX('特性清单'!$H$7:$H$18,MATCH(C22,'特性清单'!$A$7:$A$18,0))))</x:f>
      </x:c>
      <x:c r="AA22" s="50" t="str">
        <x:f>IF(AND(COUNT(H22:J22)=3,I22&gt;=H22,J22&gt;=0),ROUND((I22-H22)*1440-J22,2),"")</x:f>
      </x:c>
      <x:c r="AB22" s="51" t="str">
        <x:f>IF(AND(ISNUMBER(P22),ISNUMBER(Z22),Z22&gt;0,P22&gt;=0,P22&lt;=Z22),P22/Z22,"")</x:f>
      </x:c>
      <x:c r="AC22" s="51" t="str">
        <x:f>IF(AND(ISNUMBER(Q22),ISNUMBER(Z22),Z22&gt;0,Q22&gt;=0,Q22&lt;=Z22),Q22/Z22,"")</x:f>
      </x:c>
      <x:c r="AD22" s="13" t="str">
        <x:f>IF(AE22&lt;&gt;"纳入","",IF(AND(O22="完成",AC22=1,R22=0,S22="通过",T22="通过",AA22&lt;=AH22),1,0))</x:f>
      </x:c>
      <x:c r="AE22" s="13" t="str">
        <x:f>IF(O22="","待运行",IF(O22="进行中","进行中",IF(NOT(OR(O22="完成",O22="超时",O22="工具故障",O22="主动终止")),"需核对终态",IF(OR('试点设置'!$C$15&lt;&gt;"齐备",INDEX('特性清单'!$P$7:$P$18,MATCH(C22,'特性清单'!$A$7:$A$18,0))&lt;&gt;"齐备",D22&gt;INDEX('特性清单'!$K$7:$K$18,MATCH(C22,'特性清单'!$A$7:$A$18,0))),"待补齐试验设置",IF(NOT(AND(F22&lt;&gt;"",COUNT(G22:N22)=8,COUNT(P22:R22)=3,S22&lt;&gt;"",T22&lt;&gt;"",V22&lt;&gt;"",X22&lt;&gt;"",Y22&lt;&gt;"",AI22&lt;&gt;"")),"待补齐记录",IF(NOT(AND(G22&gt;=1,G22&lt;=4,MOD(G22,1)=0,I22&gt;=H22,MIN(J22:N22)&gt;=0,MOD(M22,1)=0,MOD(N22,1)=0,AA22&gt;=0,K22&lt;=AA22,L22&lt;=K22,MIN(P22:R22)&gt;=0,MOD(P22,1)=0,MOD(Q22,1)=0,MOD(R22,1)=0,P22&lt;=Z22,Q22&lt;=Z22,OR(S22="通过",S22="失败",S22="未完成"),OR(T22="通过",T22="失败",T22="未完成"),OR(AI22="新手",AI22="偶尔使用",AI22="经常使用"),COUNTIFS($A$7:$A$150,A22)=1)),"需核对数值或ID",IF(OR(AND(O22&lt;&gt;"完成",W22=""),AND(J22&gt;0,W22=""),AND(V22&lt;&gt;"一致",W22="")),"待说明原因",IF(V22&lt;&gt;"一致","条件偏差","纳入"))))))))</x:f>
        <x:v>待运行</x:v>
      </x:c>
      <x:c r="AF22" s="13" t="n">
        <x:f>IF(AE22&lt;&gt;"纳入",0,INDEX('配对比较'!$J$7:$J$42,MATCH(B22,'配对比较'!$A$7:$A$42,0)))</x:f>
        <x:v>0</x:v>
      </x:c>
      <x:c r="AG22" s="13" t="n">
        <x:f>IF(AE22&lt;&gt;"纳入",0,INDEX('配对比较'!$L$7:$L$42,MATCH(B22,'配对比较'!$A$7:$A$42,0)))</x:f>
        <x:v>0</x:v>
      </x:c>
      <x:c r="AH22" s="13" t="str">
        <x:f>IF(INDEX('特性清单'!$B$7:$B$18,MATCH(C22,'特性清单'!$A$7:$A$18,0))="","",IF(INDEX('特性清单'!$J$7:$J$18,MATCH(C22,'特性清单'!$A$7:$A$18,0))="","",INDEX('特性清单'!$J$7:$J$18,MATCH(C22,'特性清单'!$A$7:$A$18,0))))</x:f>
      </x:c>
      <x:c r="AI22" s="10"/>
      <x:c r="AJ22" s="13" t="n">
        <x:f>IF(AND(ISNUMBER(U22),U22&gt;=0),1,0)</x:f>
        <x:v>0</x:v>
      </x:c>
      <x:c r="AK22" s="13" t="str">
        <x:f>IF(AE22&lt;&gt;"纳入","",IF(OR(O22="超时",AA22&gt;AH22),1,0))</x:f>
      </x:c>
    </x:row>
    <x:row r="23" ht="25" customHeight="1">
      <x:c r="A23" s="13" t="str">
        <x:v>F02-R2-CC</x:v>
      </x:c>
      <x:c r="B23" s="13" t="str">
        <x:v>F02-R2</x:v>
      </x:c>
      <x:c r="C23" s="13" t="str">
        <x:v>F02</x:v>
      </x:c>
      <x:c r="D23" s="58" t="n">
        <x:v>2</x:v>
      </x:c>
      <x:c r="E23" s="13" t="str">
        <x:v>Claude Code</x:v>
      </x:c>
      <x:c r="F23" s="10"/>
      <x:c r="G23" s="56"/>
      <x:c r="H23" s="45"/>
      <x:c r="I23" s="45"/>
      <x:c r="J23" s="48"/>
      <x:c r="K23" s="48"/>
      <x:c r="L23" s="48"/>
      <x:c r="M23" s="56"/>
      <x:c r="N23" s="56"/>
      <x:c r="O23" s="10"/>
      <x:c r="P23" s="56"/>
      <x:c r="Q23" s="56"/>
      <x:c r="R23" s="56"/>
      <x:c r="S23" s="10"/>
      <x:c r="T23" s="10"/>
      <x:c r="U23" s="53"/>
      <x:c r="V23" s="10"/>
      <x:c r="W23" s="10"/>
      <x:c r="X23" s="10"/>
      <x:c r="Y23" s="10"/>
      <x:c r="Z23" s="13" t="str">
        <x:f>IF(INDEX('特性清单'!$B$7:$B$18,MATCH(C23,'特性清单'!$A$7:$A$18,0))="","",IF(INDEX('特性清单'!$H$7:$H$18,MATCH(C23,'特性清单'!$A$7:$A$18,0))="","",INDEX('特性清单'!$H$7:$H$18,MATCH(C23,'特性清单'!$A$7:$A$18,0))))</x:f>
      </x:c>
      <x:c r="AA23" s="50" t="str">
        <x:f>IF(AND(COUNT(H23:J23)=3,I23&gt;=H23,J23&gt;=0),ROUND((I23-H23)*1440-J23,2),"")</x:f>
      </x:c>
      <x:c r="AB23" s="51" t="str">
        <x:f>IF(AND(ISNUMBER(P23),ISNUMBER(Z23),Z23&gt;0,P23&gt;=0,P23&lt;=Z23),P23/Z23,"")</x:f>
      </x:c>
      <x:c r="AC23" s="51" t="str">
        <x:f>IF(AND(ISNUMBER(Q23),ISNUMBER(Z23),Z23&gt;0,Q23&gt;=0,Q23&lt;=Z23),Q23/Z23,"")</x:f>
      </x:c>
      <x:c r="AD23" s="13" t="str">
        <x:f>IF(AE23&lt;&gt;"纳入","",IF(AND(O23="完成",AC23=1,R23=0,S23="通过",T23="通过",AA23&lt;=AH23),1,0))</x:f>
      </x:c>
      <x:c r="AE23" s="13" t="str">
        <x:f>IF(O23="","待运行",IF(O23="进行中","进行中",IF(NOT(OR(O23="完成",O23="超时",O23="工具故障",O23="主动终止")),"需核对终态",IF(OR('试点设置'!$C$15&lt;&gt;"齐备",INDEX('特性清单'!$P$7:$P$18,MATCH(C23,'特性清单'!$A$7:$A$18,0))&lt;&gt;"齐备",D23&gt;INDEX('特性清单'!$K$7:$K$18,MATCH(C23,'特性清单'!$A$7:$A$18,0))),"待补齐试验设置",IF(NOT(AND(F23&lt;&gt;"",COUNT(G23:N23)=8,COUNT(P23:R23)=3,S23&lt;&gt;"",T23&lt;&gt;"",V23&lt;&gt;"",X23&lt;&gt;"",Y23&lt;&gt;"",AI23&lt;&gt;"")),"待补齐记录",IF(NOT(AND(G23&gt;=1,G23&lt;=4,MOD(G23,1)=0,I23&gt;=H23,MIN(J23:N23)&gt;=0,MOD(M23,1)=0,MOD(N23,1)=0,AA23&gt;=0,K23&lt;=AA23,L23&lt;=K23,MIN(P23:R23)&gt;=0,MOD(P23,1)=0,MOD(Q23,1)=0,MOD(R23,1)=0,P23&lt;=Z23,Q23&lt;=Z23,OR(S23="通过",S23="失败",S23="未完成"),OR(T23="通过",T23="失败",T23="未完成"),OR(AI23="新手",AI23="偶尔使用",AI23="经常使用"),COUNTIFS($A$7:$A$150,A23)=1)),"需核对数值或ID",IF(OR(AND(O23&lt;&gt;"完成",W23=""),AND(J23&gt;0,W23=""),AND(V23&lt;&gt;"一致",W23="")),"待说明原因",IF(V23&lt;&gt;"一致","条件偏差","纳入"))))))))</x:f>
        <x:v>待运行</x:v>
      </x:c>
      <x:c r="AF23" s="13" t="n">
        <x:f>IF(AE23&lt;&gt;"纳入",0,INDEX('配对比较'!$J$7:$J$42,MATCH(B23,'配对比较'!$A$7:$A$42,0)))</x:f>
        <x:v>0</x:v>
      </x:c>
      <x:c r="AG23" s="13" t="n">
        <x:f>IF(AE23&lt;&gt;"纳入",0,INDEX('配对比较'!$L$7:$L$42,MATCH(B23,'配对比较'!$A$7:$A$42,0)))</x:f>
        <x:v>0</x:v>
      </x:c>
      <x:c r="AH23" s="13" t="str">
        <x:f>IF(INDEX('特性清单'!$B$7:$B$18,MATCH(C23,'特性清单'!$A$7:$A$18,0))="","",IF(INDEX('特性清单'!$J$7:$J$18,MATCH(C23,'特性清单'!$A$7:$A$18,0))="","",INDEX('特性清单'!$J$7:$J$18,MATCH(C23,'特性清单'!$A$7:$A$18,0))))</x:f>
      </x:c>
      <x:c r="AI23" s="10"/>
      <x:c r="AJ23" s="13" t="n">
        <x:f>IF(AND(ISNUMBER(U23),U23&gt;=0),1,0)</x:f>
        <x:v>0</x:v>
      </x:c>
      <x:c r="AK23" s="13" t="str">
        <x:f>IF(AE23&lt;&gt;"纳入","",IF(OR(O23="超时",AA23&gt;AH23),1,0))</x:f>
      </x:c>
    </x:row>
    <x:row r="24" ht="25" customHeight="1">
      <x:c r="A24" s="13" t="str">
        <x:v>F02-R2-CX</x:v>
      </x:c>
      <x:c r="B24" s="13" t="str">
        <x:v>F02-R2</x:v>
      </x:c>
      <x:c r="C24" s="13" t="str">
        <x:v>F02</x:v>
      </x:c>
      <x:c r="D24" s="58" t="n">
        <x:v>2</x:v>
      </x:c>
      <x:c r="E24" s="13" t="str">
        <x:v>Codex</x:v>
      </x:c>
      <x:c r="F24" s="10"/>
      <x:c r="G24" s="56"/>
      <x:c r="H24" s="45"/>
      <x:c r="I24" s="45"/>
      <x:c r="J24" s="48"/>
      <x:c r="K24" s="48"/>
      <x:c r="L24" s="48"/>
      <x:c r="M24" s="56"/>
      <x:c r="N24" s="56"/>
      <x:c r="O24" s="10"/>
      <x:c r="P24" s="56"/>
      <x:c r="Q24" s="56"/>
      <x:c r="R24" s="56"/>
      <x:c r="S24" s="10"/>
      <x:c r="T24" s="10"/>
      <x:c r="U24" s="53"/>
      <x:c r="V24" s="10"/>
      <x:c r="W24" s="10"/>
      <x:c r="X24" s="10"/>
      <x:c r="Y24" s="10"/>
      <x:c r="Z24" s="13" t="str">
        <x:f>IF(INDEX('特性清单'!$B$7:$B$18,MATCH(C24,'特性清单'!$A$7:$A$18,0))="","",IF(INDEX('特性清单'!$H$7:$H$18,MATCH(C24,'特性清单'!$A$7:$A$18,0))="","",INDEX('特性清单'!$H$7:$H$18,MATCH(C24,'特性清单'!$A$7:$A$18,0))))</x:f>
      </x:c>
      <x:c r="AA24" s="50" t="str">
        <x:f>IF(AND(COUNT(H24:J24)=3,I24&gt;=H24,J24&gt;=0),ROUND((I24-H24)*1440-J24,2),"")</x:f>
      </x:c>
      <x:c r="AB24" s="51" t="str">
        <x:f>IF(AND(ISNUMBER(P24),ISNUMBER(Z24),Z24&gt;0,P24&gt;=0,P24&lt;=Z24),P24/Z24,"")</x:f>
      </x:c>
      <x:c r="AC24" s="51" t="str">
        <x:f>IF(AND(ISNUMBER(Q24),ISNUMBER(Z24),Z24&gt;0,Q24&gt;=0,Q24&lt;=Z24),Q24/Z24,"")</x:f>
      </x:c>
      <x:c r="AD24" s="13" t="str">
        <x:f>IF(AE24&lt;&gt;"纳入","",IF(AND(O24="完成",AC24=1,R24=0,S24="通过",T24="通过",AA24&lt;=AH24),1,0))</x:f>
      </x:c>
      <x:c r="AE24" s="13" t="str">
        <x:f>IF(O24="","待运行",IF(O24="进行中","进行中",IF(NOT(OR(O24="完成",O24="超时",O24="工具故障",O24="主动终止")),"需核对终态",IF(OR('试点设置'!$C$15&lt;&gt;"齐备",INDEX('特性清单'!$P$7:$P$18,MATCH(C24,'特性清单'!$A$7:$A$18,0))&lt;&gt;"齐备",D24&gt;INDEX('特性清单'!$K$7:$K$18,MATCH(C24,'特性清单'!$A$7:$A$18,0))),"待补齐试验设置",IF(NOT(AND(F24&lt;&gt;"",COUNT(G24:N24)=8,COUNT(P24:R24)=3,S24&lt;&gt;"",T24&lt;&gt;"",V24&lt;&gt;"",X24&lt;&gt;"",Y24&lt;&gt;"",AI24&lt;&gt;"")),"待补齐记录",IF(NOT(AND(G24&gt;=1,G24&lt;=4,MOD(G24,1)=0,I24&gt;=H24,MIN(J24:N24)&gt;=0,MOD(M24,1)=0,MOD(N24,1)=0,AA24&gt;=0,K24&lt;=AA24,L24&lt;=K24,MIN(P24:R24)&gt;=0,MOD(P24,1)=0,MOD(Q24,1)=0,MOD(R24,1)=0,P24&lt;=Z24,Q24&lt;=Z24,OR(S24="通过",S24="失败",S24="未完成"),OR(T24="通过",T24="失败",T24="未完成"),OR(AI24="新手",AI24="偶尔使用",AI24="经常使用"),COUNTIFS($A$7:$A$150,A24)=1)),"需核对数值或ID",IF(OR(AND(O24&lt;&gt;"完成",W24=""),AND(J24&gt;0,W24=""),AND(V24&lt;&gt;"一致",W24="")),"待说明原因",IF(V24&lt;&gt;"一致","条件偏差","纳入"))))))))</x:f>
        <x:v>待运行</x:v>
      </x:c>
      <x:c r="AF24" s="13" t="n">
        <x:f>IF(AE24&lt;&gt;"纳入",0,INDEX('配对比较'!$J$7:$J$42,MATCH(B24,'配对比较'!$A$7:$A$42,0)))</x:f>
        <x:v>0</x:v>
      </x:c>
      <x:c r="AG24" s="13" t="n">
        <x:f>IF(AE24&lt;&gt;"纳入",0,INDEX('配对比较'!$L$7:$L$42,MATCH(B24,'配对比较'!$A$7:$A$42,0)))</x:f>
        <x:v>0</x:v>
      </x:c>
      <x:c r="AH24" s="13" t="str">
        <x:f>IF(INDEX('特性清单'!$B$7:$B$18,MATCH(C24,'特性清单'!$A$7:$A$18,0))="","",IF(INDEX('特性清单'!$J$7:$J$18,MATCH(C24,'特性清单'!$A$7:$A$18,0))="","",INDEX('特性清单'!$J$7:$J$18,MATCH(C24,'特性清单'!$A$7:$A$18,0))))</x:f>
      </x:c>
      <x:c r="AI24" s="10"/>
      <x:c r="AJ24" s="13" t="n">
        <x:f>IF(AND(ISNUMBER(U24),U24&gt;=0),1,0)</x:f>
        <x:v>0</x:v>
      </x:c>
      <x:c r="AK24" s="13" t="str">
        <x:f>IF(AE24&lt;&gt;"纳入","",IF(OR(O24="超时",AA24&gt;AH24),1,0))</x:f>
      </x:c>
    </x:row>
    <x:row r="25" ht="25" customHeight="1">
      <x:c r="A25" s="13" t="str">
        <x:v>F02-R2-TR</x:v>
      </x:c>
      <x:c r="B25" s="13" t="str">
        <x:v>F02-R2</x:v>
      </x:c>
      <x:c r="C25" s="13" t="str">
        <x:v>F02</x:v>
      </x:c>
      <x:c r="D25" s="58" t="n">
        <x:v>2</x:v>
      </x:c>
      <x:c r="E25" s="13" t="str">
        <x:v>Trae</x:v>
      </x:c>
      <x:c r="F25" s="10"/>
      <x:c r="G25" s="56"/>
      <x:c r="H25" s="45"/>
      <x:c r="I25" s="45"/>
      <x:c r="J25" s="48"/>
      <x:c r="K25" s="48"/>
      <x:c r="L25" s="48"/>
      <x:c r="M25" s="56"/>
      <x:c r="N25" s="56"/>
      <x:c r="O25" s="10"/>
      <x:c r="P25" s="56"/>
      <x:c r="Q25" s="56"/>
      <x:c r="R25" s="56"/>
      <x:c r="S25" s="10"/>
      <x:c r="T25" s="10"/>
      <x:c r="U25" s="53"/>
      <x:c r="V25" s="10"/>
      <x:c r="W25" s="10"/>
      <x:c r="X25" s="10"/>
      <x:c r="Y25" s="10"/>
      <x:c r="Z25" s="13" t="str">
        <x:f>IF(INDEX('特性清单'!$B$7:$B$18,MATCH(C25,'特性清单'!$A$7:$A$18,0))="","",IF(INDEX('特性清单'!$H$7:$H$18,MATCH(C25,'特性清单'!$A$7:$A$18,0))="","",INDEX('特性清单'!$H$7:$H$18,MATCH(C25,'特性清单'!$A$7:$A$18,0))))</x:f>
      </x:c>
      <x:c r="AA25" s="50" t="str">
        <x:f>IF(AND(COUNT(H25:J25)=3,I25&gt;=H25,J25&gt;=0),ROUND((I25-H25)*1440-J25,2),"")</x:f>
      </x:c>
      <x:c r="AB25" s="51" t="str">
        <x:f>IF(AND(ISNUMBER(P25),ISNUMBER(Z25),Z25&gt;0,P25&gt;=0,P25&lt;=Z25),P25/Z25,"")</x:f>
      </x:c>
      <x:c r="AC25" s="51" t="str">
        <x:f>IF(AND(ISNUMBER(Q25),ISNUMBER(Z25),Z25&gt;0,Q25&gt;=0,Q25&lt;=Z25),Q25/Z25,"")</x:f>
      </x:c>
      <x:c r="AD25" s="13" t="str">
        <x:f>IF(AE25&lt;&gt;"纳入","",IF(AND(O25="完成",AC25=1,R25=0,S25="通过",T25="通过",AA25&lt;=AH25),1,0))</x:f>
      </x:c>
      <x:c r="AE25" s="13" t="str">
        <x:f>IF(O25="","待运行",IF(O25="进行中","进行中",IF(NOT(OR(O25="完成",O25="超时",O25="工具故障",O25="主动终止")),"需核对终态",IF(OR('试点设置'!$C$15&lt;&gt;"齐备",INDEX('特性清单'!$P$7:$P$18,MATCH(C25,'特性清单'!$A$7:$A$18,0))&lt;&gt;"齐备",D25&gt;INDEX('特性清单'!$K$7:$K$18,MATCH(C25,'特性清单'!$A$7:$A$18,0))),"待补齐试验设置",IF(NOT(AND(F25&lt;&gt;"",COUNT(G25:N25)=8,COUNT(P25:R25)=3,S25&lt;&gt;"",T25&lt;&gt;"",V25&lt;&gt;"",X25&lt;&gt;"",Y25&lt;&gt;"",AI25&lt;&gt;"")),"待补齐记录",IF(NOT(AND(G25&gt;=1,G25&lt;=4,MOD(G25,1)=0,I25&gt;=H25,MIN(J25:N25)&gt;=0,MOD(M25,1)=0,MOD(N25,1)=0,AA25&gt;=0,K25&lt;=AA25,L25&lt;=K25,MIN(P25:R25)&gt;=0,MOD(P25,1)=0,MOD(Q25,1)=0,MOD(R25,1)=0,P25&lt;=Z25,Q25&lt;=Z25,OR(S25="通过",S25="失败",S25="未完成"),OR(T25="通过",T25="失败",T25="未完成"),OR(AI25="新手",AI25="偶尔使用",AI25="经常使用"),COUNTIFS($A$7:$A$150,A25)=1)),"需核对数值或ID",IF(OR(AND(O25&lt;&gt;"完成",W25=""),AND(J25&gt;0,W25=""),AND(V25&lt;&gt;"一致",W25="")),"待说明原因",IF(V25&lt;&gt;"一致","条件偏差","纳入"))))))))</x:f>
        <x:v>待运行</x:v>
      </x:c>
      <x:c r="AF25" s="13" t="n">
        <x:f>IF(AE25&lt;&gt;"纳入",0,INDEX('配对比较'!$J$7:$J$42,MATCH(B25,'配对比较'!$A$7:$A$42,0)))</x:f>
        <x:v>0</x:v>
      </x:c>
      <x:c r="AG25" s="13" t="n">
        <x:f>IF(AE25&lt;&gt;"纳入",0,INDEX('配对比较'!$L$7:$L$42,MATCH(B25,'配对比较'!$A$7:$A$42,0)))</x:f>
        <x:v>0</x:v>
      </x:c>
      <x:c r="AH25" s="13" t="str">
        <x:f>IF(INDEX('特性清单'!$B$7:$B$18,MATCH(C25,'特性清单'!$A$7:$A$18,0))="","",IF(INDEX('特性清单'!$J$7:$J$18,MATCH(C25,'特性清单'!$A$7:$A$18,0))="","",INDEX('特性清单'!$J$7:$J$18,MATCH(C25,'特性清单'!$A$7:$A$18,0))))</x:f>
      </x:c>
      <x:c r="AI25" s="10"/>
      <x:c r="AJ25" s="13" t="n">
        <x:f>IF(AND(ISNUMBER(U25),U25&gt;=0),1,0)</x:f>
        <x:v>0</x:v>
      </x:c>
      <x:c r="AK25" s="13" t="str">
        <x:f>IF(AE25&lt;&gt;"纳入","",IF(OR(O25="超时",AA25&gt;AH25),1,0))</x:f>
      </x:c>
    </x:row>
    <x:row r="26" ht="25" customHeight="1">
      <x:c r="A26" s="13" t="str">
        <x:v>F02-R2-CA</x:v>
      </x:c>
      <x:c r="B26" s="13" t="str">
        <x:v>F02-R2</x:v>
      </x:c>
      <x:c r="C26" s="13" t="str">
        <x:v>F02</x:v>
      </x:c>
      <x:c r="D26" s="58" t="n">
        <x:v>2</x:v>
      </x:c>
      <x:c r="E26" s="13" t="str">
        <x:v>CodeArts</x:v>
      </x:c>
      <x:c r="F26" s="10"/>
      <x:c r="G26" s="56"/>
      <x:c r="H26" s="45"/>
      <x:c r="I26" s="45"/>
      <x:c r="J26" s="48"/>
      <x:c r="K26" s="48"/>
      <x:c r="L26" s="48"/>
      <x:c r="M26" s="56"/>
      <x:c r="N26" s="56"/>
      <x:c r="O26" s="10"/>
      <x:c r="P26" s="56"/>
      <x:c r="Q26" s="56"/>
      <x:c r="R26" s="56"/>
      <x:c r="S26" s="10"/>
      <x:c r="T26" s="10"/>
      <x:c r="U26" s="53"/>
      <x:c r="V26" s="10"/>
      <x:c r="W26" s="10"/>
      <x:c r="X26" s="10"/>
      <x:c r="Y26" s="10"/>
      <x:c r="Z26" s="13" t="str">
        <x:f>IF(INDEX('特性清单'!$B$7:$B$18,MATCH(C26,'特性清单'!$A$7:$A$18,0))="","",IF(INDEX('特性清单'!$H$7:$H$18,MATCH(C26,'特性清单'!$A$7:$A$18,0))="","",INDEX('特性清单'!$H$7:$H$18,MATCH(C26,'特性清单'!$A$7:$A$18,0))))</x:f>
      </x:c>
      <x:c r="AA26" s="50" t="str">
        <x:f>IF(AND(COUNT(H26:J26)=3,I26&gt;=H26,J26&gt;=0),ROUND((I26-H26)*1440-J26,2),"")</x:f>
      </x:c>
      <x:c r="AB26" s="51" t="str">
        <x:f>IF(AND(ISNUMBER(P26),ISNUMBER(Z26),Z26&gt;0,P26&gt;=0,P26&lt;=Z26),P26/Z26,"")</x:f>
      </x:c>
      <x:c r="AC26" s="51" t="str">
        <x:f>IF(AND(ISNUMBER(Q26),ISNUMBER(Z26),Z26&gt;0,Q26&gt;=0,Q26&lt;=Z26),Q26/Z26,"")</x:f>
      </x:c>
      <x:c r="AD26" s="13" t="str">
        <x:f>IF(AE26&lt;&gt;"纳入","",IF(AND(O26="完成",AC26=1,R26=0,S26="通过",T26="通过",AA26&lt;=AH26),1,0))</x:f>
      </x:c>
      <x:c r="AE26" s="13" t="str">
        <x:f>IF(O26="","待运行",IF(O26="进行中","进行中",IF(NOT(OR(O26="完成",O26="超时",O26="工具故障",O26="主动终止")),"需核对终态",IF(OR('试点设置'!$C$15&lt;&gt;"齐备",INDEX('特性清单'!$P$7:$P$18,MATCH(C26,'特性清单'!$A$7:$A$18,0))&lt;&gt;"齐备",D26&gt;INDEX('特性清单'!$K$7:$K$18,MATCH(C26,'特性清单'!$A$7:$A$18,0))),"待补齐试验设置",IF(NOT(AND(F26&lt;&gt;"",COUNT(G26:N26)=8,COUNT(P26:R26)=3,S26&lt;&gt;"",T26&lt;&gt;"",V26&lt;&gt;"",X26&lt;&gt;"",Y26&lt;&gt;"",AI26&lt;&gt;"")),"待补齐记录",IF(NOT(AND(G26&gt;=1,G26&lt;=4,MOD(G26,1)=0,I26&gt;=H26,MIN(J26:N26)&gt;=0,MOD(M26,1)=0,MOD(N26,1)=0,AA26&gt;=0,K26&lt;=AA26,L26&lt;=K26,MIN(P26:R26)&gt;=0,MOD(P26,1)=0,MOD(Q26,1)=0,MOD(R26,1)=0,P26&lt;=Z26,Q26&lt;=Z26,OR(S26="通过",S26="失败",S26="未完成"),OR(T26="通过",T26="失败",T26="未完成"),OR(AI26="新手",AI26="偶尔使用",AI26="经常使用"),COUNTIFS($A$7:$A$150,A26)=1)),"需核对数值或ID",IF(OR(AND(O26&lt;&gt;"完成",W26=""),AND(J26&gt;0,W26=""),AND(V26&lt;&gt;"一致",W26="")),"待说明原因",IF(V26&lt;&gt;"一致","条件偏差","纳入"))))))))</x:f>
        <x:v>待运行</x:v>
      </x:c>
      <x:c r="AF26" s="13" t="n">
        <x:f>IF(AE26&lt;&gt;"纳入",0,INDEX('配对比较'!$J$7:$J$42,MATCH(B26,'配对比较'!$A$7:$A$42,0)))</x:f>
        <x:v>0</x:v>
      </x:c>
      <x:c r="AG26" s="13" t="n">
        <x:f>IF(AE26&lt;&gt;"纳入",0,INDEX('配对比较'!$L$7:$L$42,MATCH(B26,'配对比较'!$A$7:$A$42,0)))</x:f>
        <x:v>0</x:v>
      </x:c>
      <x:c r="AH26" s="13" t="str">
        <x:f>IF(INDEX('特性清单'!$B$7:$B$18,MATCH(C26,'特性清单'!$A$7:$A$18,0))="","",IF(INDEX('特性清单'!$J$7:$J$18,MATCH(C26,'特性清单'!$A$7:$A$18,0))="","",INDEX('特性清单'!$J$7:$J$18,MATCH(C26,'特性清单'!$A$7:$A$18,0))))</x:f>
      </x:c>
      <x:c r="AI26" s="10"/>
      <x:c r="AJ26" s="13" t="n">
        <x:f>IF(AND(ISNUMBER(U26),U26&gt;=0),1,0)</x:f>
        <x:v>0</x:v>
      </x:c>
      <x:c r="AK26" s="13" t="str">
        <x:f>IF(AE26&lt;&gt;"纳入","",IF(OR(O26="超时",AA26&gt;AH26),1,0))</x:f>
      </x:c>
    </x:row>
    <x:row r="27" ht="25" customHeight="1">
      <x:c r="A27" s="13" t="str">
        <x:v>F02-R3-CC</x:v>
      </x:c>
      <x:c r="B27" s="13" t="str">
        <x:v>F02-R3</x:v>
      </x:c>
      <x:c r="C27" s="13" t="str">
        <x:v>F02</x:v>
      </x:c>
      <x:c r="D27" s="58" t="n">
        <x:v>3</x:v>
      </x:c>
      <x:c r="E27" s="13" t="str">
        <x:v>Claude Code</x:v>
      </x:c>
      <x:c r="F27" s="10"/>
      <x:c r="G27" s="56"/>
      <x:c r="H27" s="45"/>
      <x:c r="I27" s="45"/>
      <x:c r="J27" s="48"/>
      <x:c r="K27" s="48"/>
      <x:c r="L27" s="48"/>
      <x:c r="M27" s="56"/>
      <x:c r="N27" s="56"/>
      <x:c r="O27" s="10"/>
      <x:c r="P27" s="56"/>
      <x:c r="Q27" s="56"/>
      <x:c r="R27" s="56"/>
      <x:c r="S27" s="10"/>
      <x:c r="T27" s="10"/>
      <x:c r="U27" s="53"/>
      <x:c r="V27" s="10"/>
      <x:c r="W27" s="10"/>
      <x:c r="X27" s="10"/>
      <x:c r="Y27" s="10"/>
      <x:c r="Z27" s="13" t="str">
        <x:f>IF(INDEX('特性清单'!$B$7:$B$18,MATCH(C27,'特性清单'!$A$7:$A$18,0))="","",IF(INDEX('特性清单'!$H$7:$H$18,MATCH(C27,'特性清单'!$A$7:$A$18,0))="","",INDEX('特性清单'!$H$7:$H$18,MATCH(C27,'特性清单'!$A$7:$A$18,0))))</x:f>
      </x:c>
      <x:c r="AA27" s="50" t="str">
        <x:f>IF(AND(COUNT(H27:J27)=3,I27&gt;=H27,J27&gt;=0),ROUND((I27-H27)*1440-J27,2),"")</x:f>
      </x:c>
      <x:c r="AB27" s="51" t="str">
        <x:f>IF(AND(ISNUMBER(P27),ISNUMBER(Z27),Z27&gt;0,P27&gt;=0,P27&lt;=Z27),P27/Z27,"")</x:f>
      </x:c>
      <x:c r="AC27" s="51" t="str">
        <x:f>IF(AND(ISNUMBER(Q27),ISNUMBER(Z27),Z27&gt;0,Q27&gt;=0,Q27&lt;=Z27),Q27/Z27,"")</x:f>
      </x:c>
      <x:c r="AD27" s="13" t="str">
        <x:f>IF(AE27&lt;&gt;"纳入","",IF(AND(O27="完成",AC27=1,R27=0,S27="通过",T27="通过",AA27&lt;=AH27),1,0))</x:f>
      </x:c>
      <x:c r="AE27" s="13" t="str">
        <x:f>IF(O27="","待运行",IF(O27="进行中","进行中",IF(NOT(OR(O27="完成",O27="超时",O27="工具故障",O27="主动终止")),"需核对终态",IF(OR('试点设置'!$C$15&lt;&gt;"齐备",INDEX('特性清单'!$P$7:$P$18,MATCH(C27,'特性清单'!$A$7:$A$18,0))&lt;&gt;"齐备",D27&gt;INDEX('特性清单'!$K$7:$K$18,MATCH(C27,'特性清单'!$A$7:$A$18,0))),"待补齐试验设置",IF(NOT(AND(F27&lt;&gt;"",COUNT(G27:N27)=8,COUNT(P27:R27)=3,S27&lt;&gt;"",T27&lt;&gt;"",V27&lt;&gt;"",X27&lt;&gt;"",Y27&lt;&gt;"",AI27&lt;&gt;"")),"待补齐记录",IF(NOT(AND(G27&gt;=1,G27&lt;=4,MOD(G27,1)=0,I27&gt;=H27,MIN(J27:N27)&gt;=0,MOD(M27,1)=0,MOD(N27,1)=0,AA27&gt;=0,K27&lt;=AA27,L27&lt;=K27,MIN(P27:R27)&gt;=0,MOD(P27,1)=0,MOD(Q27,1)=0,MOD(R27,1)=0,P27&lt;=Z27,Q27&lt;=Z27,OR(S27="通过",S27="失败",S27="未完成"),OR(T27="通过",T27="失败",T27="未完成"),OR(AI27="新手",AI27="偶尔使用",AI27="经常使用"),COUNTIFS($A$7:$A$150,A27)=1)),"需核对数值或ID",IF(OR(AND(O27&lt;&gt;"完成",W27=""),AND(J27&gt;0,W27=""),AND(V27&lt;&gt;"一致",W27="")),"待说明原因",IF(V27&lt;&gt;"一致","条件偏差","纳入"))))))))</x:f>
        <x:v>待运行</x:v>
      </x:c>
      <x:c r="AF27" s="13" t="n">
        <x:f>IF(AE27&lt;&gt;"纳入",0,INDEX('配对比较'!$J$7:$J$42,MATCH(B27,'配对比较'!$A$7:$A$42,0)))</x:f>
        <x:v>0</x:v>
      </x:c>
      <x:c r="AG27" s="13" t="n">
        <x:f>IF(AE27&lt;&gt;"纳入",0,INDEX('配对比较'!$L$7:$L$42,MATCH(B27,'配对比较'!$A$7:$A$42,0)))</x:f>
        <x:v>0</x:v>
      </x:c>
      <x:c r="AH27" s="13" t="str">
        <x:f>IF(INDEX('特性清单'!$B$7:$B$18,MATCH(C27,'特性清单'!$A$7:$A$18,0))="","",IF(INDEX('特性清单'!$J$7:$J$18,MATCH(C27,'特性清单'!$A$7:$A$18,0))="","",INDEX('特性清单'!$J$7:$J$18,MATCH(C27,'特性清单'!$A$7:$A$18,0))))</x:f>
      </x:c>
      <x:c r="AI27" s="10"/>
      <x:c r="AJ27" s="13" t="n">
        <x:f>IF(AND(ISNUMBER(U27),U27&gt;=0),1,0)</x:f>
        <x:v>0</x:v>
      </x:c>
      <x:c r="AK27" s="13" t="str">
        <x:f>IF(AE27&lt;&gt;"纳入","",IF(OR(O27="超时",AA27&gt;AH27),1,0))</x:f>
      </x:c>
    </x:row>
    <x:row r="28" ht="25" customHeight="1">
      <x:c r="A28" s="13" t="str">
        <x:v>F02-R3-CX</x:v>
      </x:c>
      <x:c r="B28" s="13" t="str">
        <x:v>F02-R3</x:v>
      </x:c>
      <x:c r="C28" s="13" t="str">
        <x:v>F02</x:v>
      </x:c>
      <x:c r="D28" s="58" t="n">
        <x:v>3</x:v>
      </x:c>
      <x:c r="E28" s="13" t="str">
        <x:v>Codex</x:v>
      </x:c>
      <x:c r="F28" s="10"/>
      <x:c r="G28" s="56"/>
      <x:c r="H28" s="45"/>
      <x:c r="I28" s="45"/>
      <x:c r="J28" s="48"/>
      <x:c r="K28" s="48"/>
      <x:c r="L28" s="48"/>
      <x:c r="M28" s="56"/>
      <x:c r="N28" s="56"/>
      <x:c r="O28" s="10"/>
      <x:c r="P28" s="56"/>
      <x:c r="Q28" s="56"/>
      <x:c r="R28" s="56"/>
      <x:c r="S28" s="10"/>
      <x:c r="T28" s="10"/>
      <x:c r="U28" s="53"/>
      <x:c r="V28" s="10"/>
      <x:c r="W28" s="10"/>
      <x:c r="X28" s="10"/>
      <x:c r="Y28" s="10"/>
      <x:c r="Z28" s="13" t="str">
        <x:f>IF(INDEX('特性清单'!$B$7:$B$18,MATCH(C28,'特性清单'!$A$7:$A$18,0))="","",IF(INDEX('特性清单'!$H$7:$H$18,MATCH(C28,'特性清单'!$A$7:$A$18,0))="","",INDEX('特性清单'!$H$7:$H$18,MATCH(C28,'特性清单'!$A$7:$A$18,0))))</x:f>
      </x:c>
      <x:c r="AA28" s="50" t="str">
        <x:f>IF(AND(COUNT(H28:J28)=3,I28&gt;=H28,J28&gt;=0),ROUND((I28-H28)*1440-J28,2),"")</x:f>
      </x:c>
      <x:c r="AB28" s="51" t="str">
        <x:f>IF(AND(ISNUMBER(P28),ISNUMBER(Z28),Z28&gt;0,P28&gt;=0,P28&lt;=Z28),P28/Z28,"")</x:f>
      </x:c>
      <x:c r="AC28" s="51" t="str">
        <x:f>IF(AND(ISNUMBER(Q28),ISNUMBER(Z28),Z28&gt;0,Q28&gt;=0,Q28&lt;=Z28),Q28/Z28,"")</x:f>
      </x:c>
      <x:c r="AD28" s="13" t="str">
        <x:f>IF(AE28&lt;&gt;"纳入","",IF(AND(O28="完成",AC28=1,R28=0,S28="通过",T28="通过",AA28&lt;=AH28),1,0))</x:f>
      </x:c>
      <x:c r="AE28" s="13" t="str">
        <x:f>IF(O28="","待运行",IF(O28="进行中","进行中",IF(NOT(OR(O28="完成",O28="超时",O28="工具故障",O28="主动终止")),"需核对终态",IF(OR('试点设置'!$C$15&lt;&gt;"齐备",INDEX('特性清单'!$P$7:$P$18,MATCH(C28,'特性清单'!$A$7:$A$18,0))&lt;&gt;"齐备",D28&gt;INDEX('特性清单'!$K$7:$K$18,MATCH(C28,'特性清单'!$A$7:$A$18,0))),"待补齐试验设置",IF(NOT(AND(F28&lt;&gt;"",COUNT(G28:N28)=8,COUNT(P28:R28)=3,S28&lt;&gt;"",T28&lt;&gt;"",V28&lt;&gt;"",X28&lt;&gt;"",Y28&lt;&gt;"",AI28&lt;&gt;"")),"待补齐记录",IF(NOT(AND(G28&gt;=1,G28&lt;=4,MOD(G28,1)=0,I28&gt;=H28,MIN(J28:N28)&gt;=0,MOD(M28,1)=0,MOD(N28,1)=0,AA28&gt;=0,K28&lt;=AA28,L28&lt;=K28,MIN(P28:R28)&gt;=0,MOD(P28,1)=0,MOD(Q28,1)=0,MOD(R28,1)=0,P28&lt;=Z28,Q28&lt;=Z28,OR(S28="通过",S28="失败",S28="未完成"),OR(T28="通过",T28="失败",T28="未完成"),OR(AI28="新手",AI28="偶尔使用",AI28="经常使用"),COUNTIFS($A$7:$A$150,A28)=1)),"需核对数值或ID",IF(OR(AND(O28&lt;&gt;"完成",W28=""),AND(J28&gt;0,W28=""),AND(V28&lt;&gt;"一致",W28="")),"待说明原因",IF(V28&lt;&gt;"一致","条件偏差","纳入"))))))))</x:f>
        <x:v>待运行</x:v>
      </x:c>
      <x:c r="AF28" s="13" t="n">
        <x:f>IF(AE28&lt;&gt;"纳入",0,INDEX('配对比较'!$J$7:$J$42,MATCH(B28,'配对比较'!$A$7:$A$42,0)))</x:f>
        <x:v>0</x:v>
      </x:c>
      <x:c r="AG28" s="13" t="n">
        <x:f>IF(AE28&lt;&gt;"纳入",0,INDEX('配对比较'!$L$7:$L$42,MATCH(B28,'配对比较'!$A$7:$A$42,0)))</x:f>
        <x:v>0</x:v>
      </x:c>
      <x:c r="AH28" s="13" t="str">
        <x:f>IF(INDEX('特性清单'!$B$7:$B$18,MATCH(C28,'特性清单'!$A$7:$A$18,0))="","",IF(INDEX('特性清单'!$J$7:$J$18,MATCH(C28,'特性清单'!$A$7:$A$18,0))="","",INDEX('特性清单'!$J$7:$J$18,MATCH(C28,'特性清单'!$A$7:$A$18,0))))</x:f>
      </x:c>
      <x:c r="AI28" s="10"/>
      <x:c r="AJ28" s="13" t="n">
        <x:f>IF(AND(ISNUMBER(U28),U28&gt;=0),1,0)</x:f>
        <x:v>0</x:v>
      </x:c>
      <x:c r="AK28" s="13" t="str">
        <x:f>IF(AE28&lt;&gt;"纳入","",IF(OR(O28="超时",AA28&gt;AH28),1,0))</x:f>
      </x:c>
    </x:row>
    <x:row r="29" ht="25" customHeight="1">
      <x:c r="A29" s="13" t="str">
        <x:v>F02-R3-TR</x:v>
      </x:c>
      <x:c r="B29" s="13" t="str">
        <x:v>F02-R3</x:v>
      </x:c>
      <x:c r="C29" s="13" t="str">
        <x:v>F02</x:v>
      </x:c>
      <x:c r="D29" s="58" t="n">
        <x:v>3</x:v>
      </x:c>
      <x:c r="E29" s="13" t="str">
        <x:v>Trae</x:v>
      </x:c>
      <x:c r="F29" s="10"/>
      <x:c r="G29" s="56"/>
      <x:c r="H29" s="45"/>
      <x:c r="I29" s="45"/>
      <x:c r="J29" s="48"/>
      <x:c r="K29" s="48"/>
      <x:c r="L29" s="48"/>
      <x:c r="M29" s="56"/>
      <x:c r="N29" s="56"/>
      <x:c r="O29" s="10"/>
      <x:c r="P29" s="56"/>
      <x:c r="Q29" s="56"/>
      <x:c r="R29" s="56"/>
      <x:c r="S29" s="10"/>
      <x:c r="T29" s="10"/>
      <x:c r="U29" s="53"/>
      <x:c r="V29" s="10"/>
      <x:c r="W29" s="10"/>
      <x:c r="X29" s="10"/>
      <x:c r="Y29" s="10"/>
      <x:c r="Z29" s="13" t="str">
        <x:f>IF(INDEX('特性清单'!$B$7:$B$18,MATCH(C29,'特性清单'!$A$7:$A$18,0))="","",IF(INDEX('特性清单'!$H$7:$H$18,MATCH(C29,'特性清单'!$A$7:$A$18,0))="","",INDEX('特性清单'!$H$7:$H$18,MATCH(C29,'特性清单'!$A$7:$A$18,0))))</x:f>
      </x:c>
      <x:c r="AA29" s="50" t="str">
        <x:f>IF(AND(COUNT(H29:J29)=3,I29&gt;=H29,J29&gt;=0),ROUND((I29-H29)*1440-J29,2),"")</x:f>
      </x:c>
      <x:c r="AB29" s="51" t="str">
        <x:f>IF(AND(ISNUMBER(P29),ISNUMBER(Z29),Z29&gt;0,P29&gt;=0,P29&lt;=Z29),P29/Z29,"")</x:f>
      </x:c>
      <x:c r="AC29" s="51" t="str">
        <x:f>IF(AND(ISNUMBER(Q29),ISNUMBER(Z29),Z29&gt;0,Q29&gt;=0,Q29&lt;=Z29),Q29/Z29,"")</x:f>
      </x:c>
      <x:c r="AD29" s="13" t="str">
        <x:f>IF(AE29&lt;&gt;"纳入","",IF(AND(O29="完成",AC29=1,R29=0,S29="通过",T29="通过",AA29&lt;=AH29),1,0))</x:f>
      </x:c>
      <x:c r="AE29" s="13" t="str">
        <x:f>IF(O29="","待运行",IF(O29="进行中","进行中",IF(NOT(OR(O29="完成",O29="超时",O29="工具故障",O29="主动终止")),"需核对终态",IF(OR('试点设置'!$C$15&lt;&gt;"齐备",INDEX('特性清单'!$P$7:$P$18,MATCH(C29,'特性清单'!$A$7:$A$18,0))&lt;&gt;"齐备",D29&gt;INDEX('特性清单'!$K$7:$K$18,MATCH(C29,'特性清单'!$A$7:$A$18,0))),"待补齐试验设置",IF(NOT(AND(F29&lt;&gt;"",COUNT(G29:N29)=8,COUNT(P29:R29)=3,S29&lt;&gt;"",T29&lt;&gt;"",V29&lt;&gt;"",X29&lt;&gt;"",Y29&lt;&gt;"",AI29&lt;&gt;"")),"待补齐记录",IF(NOT(AND(G29&gt;=1,G29&lt;=4,MOD(G29,1)=0,I29&gt;=H29,MIN(J29:N29)&gt;=0,MOD(M29,1)=0,MOD(N29,1)=0,AA29&gt;=0,K29&lt;=AA29,L29&lt;=K29,MIN(P29:R29)&gt;=0,MOD(P29,1)=0,MOD(Q29,1)=0,MOD(R29,1)=0,P29&lt;=Z29,Q29&lt;=Z29,OR(S29="通过",S29="失败",S29="未完成"),OR(T29="通过",T29="失败",T29="未完成"),OR(AI29="新手",AI29="偶尔使用",AI29="经常使用"),COUNTIFS($A$7:$A$150,A29)=1)),"需核对数值或ID",IF(OR(AND(O29&lt;&gt;"完成",W29=""),AND(J29&gt;0,W29=""),AND(V29&lt;&gt;"一致",W29="")),"待说明原因",IF(V29&lt;&gt;"一致","条件偏差","纳入"))))))))</x:f>
        <x:v>待运行</x:v>
      </x:c>
      <x:c r="AF29" s="13" t="n">
        <x:f>IF(AE29&lt;&gt;"纳入",0,INDEX('配对比较'!$J$7:$J$42,MATCH(B29,'配对比较'!$A$7:$A$42,0)))</x:f>
        <x:v>0</x:v>
      </x:c>
      <x:c r="AG29" s="13" t="n">
        <x:f>IF(AE29&lt;&gt;"纳入",0,INDEX('配对比较'!$L$7:$L$42,MATCH(B29,'配对比较'!$A$7:$A$42,0)))</x:f>
        <x:v>0</x:v>
      </x:c>
      <x:c r="AH29" s="13" t="str">
        <x:f>IF(INDEX('特性清单'!$B$7:$B$18,MATCH(C29,'特性清单'!$A$7:$A$18,0))="","",IF(INDEX('特性清单'!$J$7:$J$18,MATCH(C29,'特性清单'!$A$7:$A$18,0))="","",INDEX('特性清单'!$J$7:$J$18,MATCH(C29,'特性清单'!$A$7:$A$18,0))))</x:f>
      </x:c>
      <x:c r="AI29" s="10"/>
      <x:c r="AJ29" s="13" t="n">
        <x:f>IF(AND(ISNUMBER(U29),U29&gt;=0),1,0)</x:f>
        <x:v>0</x:v>
      </x:c>
      <x:c r="AK29" s="13" t="str">
        <x:f>IF(AE29&lt;&gt;"纳入","",IF(OR(O29="超时",AA29&gt;AH29),1,0))</x:f>
      </x:c>
    </x:row>
    <x:row r="30" ht="25" customHeight="1">
      <x:c r="A30" s="13" t="str">
        <x:v>F02-R3-CA</x:v>
      </x:c>
      <x:c r="B30" s="13" t="str">
        <x:v>F02-R3</x:v>
      </x:c>
      <x:c r="C30" s="13" t="str">
        <x:v>F02</x:v>
      </x:c>
      <x:c r="D30" s="58" t="n">
        <x:v>3</x:v>
      </x:c>
      <x:c r="E30" s="13" t="str">
        <x:v>CodeArts</x:v>
      </x:c>
      <x:c r="F30" s="10"/>
      <x:c r="G30" s="56"/>
      <x:c r="H30" s="45"/>
      <x:c r="I30" s="45"/>
      <x:c r="J30" s="48"/>
      <x:c r="K30" s="48"/>
      <x:c r="L30" s="48"/>
      <x:c r="M30" s="56"/>
      <x:c r="N30" s="56"/>
      <x:c r="O30" s="10"/>
      <x:c r="P30" s="56"/>
      <x:c r="Q30" s="56"/>
      <x:c r="R30" s="56"/>
      <x:c r="S30" s="10"/>
      <x:c r="T30" s="10"/>
      <x:c r="U30" s="53"/>
      <x:c r="V30" s="10"/>
      <x:c r="W30" s="10"/>
      <x:c r="X30" s="10"/>
      <x:c r="Y30" s="10"/>
      <x:c r="Z30" s="13" t="str">
        <x:f>IF(INDEX('特性清单'!$B$7:$B$18,MATCH(C30,'特性清单'!$A$7:$A$18,0))="","",IF(INDEX('特性清单'!$H$7:$H$18,MATCH(C30,'特性清单'!$A$7:$A$18,0))="","",INDEX('特性清单'!$H$7:$H$18,MATCH(C30,'特性清单'!$A$7:$A$18,0))))</x:f>
      </x:c>
      <x:c r="AA30" s="50" t="str">
        <x:f>IF(AND(COUNT(H30:J30)=3,I30&gt;=H30,J30&gt;=0),ROUND((I30-H30)*1440-J30,2),"")</x:f>
      </x:c>
      <x:c r="AB30" s="51" t="str">
        <x:f>IF(AND(ISNUMBER(P30),ISNUMBER(Z30),Z30&gt;0,P30&gt;=0,P30&lt;=Z30),P30/Z30,"")</x:f>
      </x:c>
      <x:c r="AC30" s="51" t="str">
        <x:f>IF(AND(ISNUMBER(Q30),ISNUMBER(Z30),Z30&gt;0,Q30&gt;=0,Q30&lt;=Z30),Q30/Z30,"")</x:f>
      </x:c>
      <x:c r="AD30" s="13" t="str">
        <x:f>IF(AE30&lt;&gt;"纳入","",IF(AND(O30="完成",AC30=1,R30=0,S30="通过",T30="通过",AA30&lt;=AH30),1,0))</x:f>
      </x:c>
      <x:c r="AE30" s="13" t="str">
        <x:f>IF(O30="","待运行",IF(O30="进行中","进行中",IF(NOT(OR(O30="完成",O30="超时",O30="工具故障",O30="主动终止")),"需核对终态",IF(OR('试点设置'!$C$15&lt;&gt;"齐备",INDEX('特性清单'!$P$7:$P$18,MATCH(C30,'特性清单'!$A$7:$A$18,0))&lt;&gt;"齐备",D30&gt;INDEX('特性清单'!$K$7:$K$18,MATCH(C30,'特性清单'!$A$7:$A$18,0))),"待补齐试验设置",IF(NOT(AND(F30&lt;&gt;"",COUNT(G30:N30)=8,COUNT(P30:R30)=3,S30&lt;&gt;"",T30&lt;&gt;"",V30&lt;&gt;"",X30&lt;&gt;"",Y30&lt;&gt;"",AI30&lt;&gt;"")),"待补齐记录",IF(NOT(AND(G30&gt;=1,G30&lt;=4,MOD(G30,1)=0,I30&gt;=H30,MIN(J30:N30)&gt;=0,MOD(M30,1)=0,MOD(N30,1)=0,AA30&gt;=0,K30&lt;=AA30,L30&lt;=K30,MIN(P30:R30)&gt;=0,MOD(P30,1)=0,MOD(Q30,1)=0,MOD(R30,1)=0,P30&lt;=Z30,Q30&lt;=Z30,OR(S30="通过",S30="失败",S30="未完成"),OR(T30="通过",T30="失败",T30="未完成"),OR(AI30="新手",AI30="偶尔使用",AI30="经常使用"),COUNTIFS($A$7:$A$150,A30)=1)),"需核对数值或ID",IF(OR(AND(O30&lt;&gt;"完成",W30=""),AND(J30&gt;0,W30=""),AND(V30&lt;&gt;"一致",W30="")),"待说明原因",IF(V30&lt;&gt;"一致","条件偏差","纳入"))))))))</x:f>
        <x:v>待运行</x:v>
      </x:c>
      <x:c r="AF30" s="13" t="n">
        <x:f>IF(AE30&lt;&gt;"纳入",0,INDEX('配对比较'!$J$7:$J$42,MATCH(B30,'配对比较'!$A$7:$A$42,0)))</x:f>
        <x:v>0</x:v>
      </x:c>
      <x:c r="AG30" s="13" t="n">
        <x:f>IF(AE30&lt;&gt;"纳入",0,INDEX('配对比较'!$L$7:$L$42,MATCH(B30,'配对比较'!$A$7:$A$42,0)))</x:f>
        <x:v>0</x:v>
      </x:c>
      <x:c r="AH30" s="13" t="str">
        <x:f>IF(INDEX('特性清单'!$B$7:$B$18,MATCH(C30,'特性清单'!$A$7:$A$18,0))="","",IF(INDEX('特性清单'!$J$7:$J$18,MATCH(C30,'特性清单'!$A$7:$A$18,0))="","",INDEX('特性清单'!$J$7:$J$18,MATCH(C30,'特性清单'!$A$7:$A$18,0))))</x:f>
      </x:c>
      <x:c r="AI30" s="10"/>
      <x:c r="AJ30" s="13" t="n">
        <x:f>IF(AND(ISNUMBER(U30),U30&gt;=0),1,0)</x:f>
        <x:v>0</x:v>
      </x:c>
      <x:c r="AK30" s="13" t="str">
        <x:f>IF(AE30&lt;&gt;"纳入","",IF(OR(O30="超时",AA30&gt;AH30),1,0))</x:f>
      </x:c>
    </x:row>
    <x:row r="31" ht="25" customHeight="1">
      <x:c r="A31" s="13" t="str">
        <x:v>F03-R1-CC</x:v>
      </x:c>
      <x:c r="B31" s="13" t="str">
        <x:v>F03-R1</x:v>
      </x:c>
      <x:c r="C31" s="13" t="str">
        <x:v>F03</x:v>
      </x:c>
      <x:c r="D31" s="58" t="n">
        <x:v>1</x:v>
      </x:c>
      <x:c r="E31" s="13" t="str">
        <x:v>Claude Code</x:v>
      </x:c>
      <x:c r="F31" s="10"/>
      <x:c r="G31" s="56"/>
      <x:c r="H31" s="45"/>
      <x:c r="I31" s="45"/>
      <x:c r="J31" s="48"/>
      <x:c r="K31" s="48"/>
      <x:c r="L31" s="48"/>
      <x:c r="M31" s="56"/>
      <x:c r="N31" s="56"/>
      <x:c r="O31" s="10"/>
      <x:c r="P31" s="56"/>
      <x:c r="Q31" s="56"/>
      <x:c r="R31" s="56"/>
      <x:c r="S31" s="10"/>
      <x:c r="T31" s="10"/>
      <x:c r="U31" s="53"/>
      <x:c r="V31" s="10"/>
      <x:c r="W31" s="10"/>
      <x:c r="X31" s="10"/>
      <x:c r="Y31" s="10"/>
      <x:c r="Z31" s="13" t="str">
        <x:f>IF(INDEX('特性清单'!$B$7:$B$18,MATCH(C31,'特性清单'!$A$7:$A$18,0))="","",IF(INDEX('特性清单'!$H$7:$H$18,MATCH(C31,'特性清单'!$A$7:$A$18,0))="","",INDEX('特性清单'!$H$7:$H$18,MATCH(C31,'特性清单'!$A$7:$A$18,0))))</x:f>
      </x:c>
      <x:c r="AA31" s="50" t="str">
        <x:f>IF(AND(COUNT(H31:J31)=3,I31&gt;=H31,J31&gt;=0),ROUND((I31-H31)*1440-J31,2),"")</x:f>
      </x:c>
      <x:c r="AB31" s="51" t="str">
        <x:f>IF(AND(ISNUMBER(P31),ISNUMBER(Z31),Z31&gt;0,P31&gt;=0,P31&lt;=Z31),P31/Z31,"")</x:f>
      </x:c>
      <x:c r="AC31" s="51" t="str">
        <x:f>IF(AND(ISNUMBER(Q31),ISNUMBER(Z31),Z31&gt;0,Q31&gt;=0,Q31&lt;=Z31),Q31/Z31,"")</x:f>
      </x:c>
      <x:c r="AD31" s="13" t="str">
        <x:f>IF(AE31&lt;&gt;"纳入","",IF(AND(O31="完成",AC31=1,R31=0,S31="通过",T31="通过",AA31&lt;=AH31),1,0))</x:f>
      </x:c>
      <x:c r="AE31" s="13" t="str">
        <x:f>IF(O31="","待运行",IF(O31="进行中","进行中",IF(NOT(OR(O31="完成",O31="超时",O31="工具故障",O31="主动终止")),"需核对终态",IF(OR('试点设置'!$C$15&lt;&gt;"齐备",INDEX('特性清单'!$P$7:$P$18,MATCH(C31,'特性清单'!$A$7:$A$18,0))&lt;&gt;"齐备",D31&gt;INDEX('特性清单'!$K$7:$K$18,MATCH(C31,'特性清单'!$A$7:$A$18,0))),"待补齐试验设置",IF(NOT(AND(F31&lt;&gt;"",COUNT(G31:N31)=8,COUNT(P31:R31)=3,S31&lt;&gt;"",T31&lt;&gt;"",V31&lt;&gt;"",X31&lt;&gt;"",Y31&lt;&gt;"",AI31&lt;&gt;"")),"待补齐记录",IF(NOT(AND(G31&gt;=1,G31&lt;=4,MOD(G31,1)=0,I31&gt;=H31,MIN(J31:N31)&gt;=0,MOD(M31,1)=0,MOD(N31,1)=0,AA31&gt;=0,K31&lt;=AA31,L31&lt;=K31,MIN(P31:R31)&gt;=0,MOD(P31,1)=0,MOD(Q31,1)=0,MOD(R31,1)=0,P31&lt;=Z31,Q31&lt;=Z31,OR(S31="通过",S31="失败",S31="未完成"),OR(T31="通过",T31="失败",T31="未完成"),OR(AI31="新手",AI31="偶尔使用",AI31="经常使用"),COUNTIFS($A$7:$A$150,A31)=1)),"需核对数值或ID",IF(OR(AND(O31&lt;&gt;"完成",W31=""),AND(J31&gt;0,W31=""),AND(V31&lt;&gt;"一致",W31="")),"待说明原因",IF(V31&lt;&gt;"一致","条件偏差","纳入"))))))))</x:f>
        <x:v>待运行</x:v>
      </x:c>
      <x:c r="AF31" s="13" t="n">
        <x:f>IF(AE31&lt;&gt;"纳入",0,INDEX('配对比较'!$J$7:$J$42,MATCH(B31,'配对比较'!$A$7:$A$42,0)))</x:f>
        <x:v>0</x:v>
      </x:c>
      <x:c r="AG31" s="13" t="n">
        <x:f>IF(AE31&lt;&gt;"纳入",0,INDEX('配对比较'!$L$7:$L$42,MATCH(B31,'配对比较'!$A$7:$A$42,0)))</x:f>
        <x:v>0</x:v>
      </x:c>
      <x:c r="AH31" s="13" t="str">
        <x:f>IF(INDEX('特性清单'!$B$7:$B$18,MATCH(C31,'特性清单'!$A$7:$A$18,0))="","",IF(INDEX('特性清单'!$J$7:$J$18,MATCH(C31,'特性清单'!$A$7:$A$18,0))="","",INDEX('特性清单'!$J$7:$J$18,MATCH(C31,'特性清单'!$A$7:$A$18,0))))</x:f>
      </x:c>
      <x:c r="AI31" s="10"/>
      <x:c r="AJ31" s="13" t="n">
        <x:f>IF(AND(ISNUMBER(U31),U31&gt;=0),1,0)</x:f>
        <x:v>0</x:v>
      </x:c>
      <x:c r="AK31" s="13" t="str">
        <x:f>IF(AE31&lt;&gt;"纳入","",IF(OR(O31="超时",AA31&gt;AH31),1,0))</x:f>
      </x:c>
    </x:row>
    <x:row r="32" ht="25" customHeight="1">
      <x:c r="A32" s="13" t="str">
        <x:v>F03-R1-CX</x:v>
      </x:c>
      <x:c r="B32" s="13" t="str">
        <x:v>F03-R1</x:v>
      </x:c>
      <x:c r="C32" s="13" t="str">
        <x:v>F03</x:v>
      </x:c>
      <x:c r="D32" s="58" t="n">
        <x:v>1</x:v>
      </x:c>
      <x:c r="E32" s="13" t="str">
        <x:v>Codex</x:v>
      </x:c>
      <x:c r="F32" s="10"/>
      <x:c r="G32" s="56"/>
      <x:c r="H32" s="45"/>
      <x:c r="I32" s="45"/>
      <x:c r="J32" s="48"/>
      <x:c r="K32" s="48"/>
      <x:c r="L32" s="48"/>
      <x:c r="M32" s="56"/>
      <x:c r="N32" s="56"/>
      <x:c r="O32" s="10"/>
      <x:c r="P32" s="56"/>
      <x:c r="Q32" s="56"/>
      <x:c r="R32" s="56"/>
      <x:c r="S32" s="10"/>
      <x:c r="T32" s="10"/>
      <x:c r="U32" s="53"/>
      <x:c r="V32" s="10"/>
      <x:c r="W32" s="10"/>
      <x:c r="X32" s="10"/>
      <x:c r="Y32" s="10"/>
      <x:c r="Z32" s="13" t="str">
        <x:f>IF(INDEX('特性清单'!$B$7:$B$18,MATCH(C32,'特性清单'!$A$7:$A$18,0))="","",IF(INDEX('特性清单'!$H$7:$H$18,MATCH(C32,'特性清单'!$A$7:$A$18,0))="","",INDEX('特性清单'!$H$7:$H$18,MATCH(C32,'特性清单'!$A$7:$A$18,0))))</x:f>
      </x:c>
      <x:c r="AA32" s="50" t="str">
        <x:f>IF(AND(COUNT(H32:J32)=3,I32&gt;=H32,J32&gt;=0),ROUND((I32-H32)*1440-J32,2),"")</x:f>
      </x:c>
      <x:c r="AB32" s="51" t="str">
        <x:f>IF(AND(ISNUMBER(P32),ISNUMBER(Z32),Z32&gt;0,P32&gt;=0,P32&lt;=Z32),P32/Z32,"")</x:f>
      </x:c>
      <x:c r="AC32" s="51" t="str">
        <x:f>IF(AND(ISNUMBER(Q32),ISNUMBER(Z32),Z32&gt;0,Q32&gt;=0,Q32&lt;=Z32),Q32/Z32,"")</x:f>
      </x:c>
      <x:c r="AD32" s="13" t="str">
        <x:f>IF(AE32&lt;&gt;"纳入","",IF(AND(O32="完成",AC32=1,R32=0,S32="通过",T32="通过",AA32&lt;=AH32),1,0))</x:f>
      </x:c>
      <x:c r="AE32" s="13" t="str">
        <x:f>IF(O32="","待运行",IF(O32="进行中","进行中",IF(NOT(OR(O32="完成",O32="超时",O32="工具故障",O32="主动终止")),"需核对终态",IF(OR('试点设置'!$C$15&lt;&gt;"齐备",INDEX('特性清单'!$P$7:$P$18,MATCH(C32,'特性清单'!$A$7:$A$18,0))&lt;&gt;"齐备",D32&gt;INDEX('特性清单'!$K$7:$K$18,MATCH(C32,'特性清单'!$A$7:$A$18,0))),"待补齐试验设置",IF(NOT(AND(F32&lt;&gt;"",COUNT(G32:N32)=8,COUNT(P32:R32)=3,S32&lt;&gt;"",T32&lt;&gt;"",V32&lt;&gt;"",X32&lt;&gt;"",Y32&lt;&gt;"",AI32&lt;&gt;"")),"待补齐记录",IF(NOT(AND(G32&gt;=1,G32&lt;=4,MOD(G32,1)=0,I32&gt;=H32,MIN(J32:N32)&gt;=0,MOD(M32,1)=0,MOD(N32,1)=0,AA32&gt;=0,K32&lt;=AA32,L32&lt;=K32,MIN(P32:R32)&gt;=0,MOD(P32,1)=0,MOD(Q32,1)=0,MOD(R32,1)=0,P32&lt;=Z32,Q32&lt;=Z32,OR(S32="通过",S32="失败",S32="未完成"),OR(T32="通过",T32="失败",T32="未完成"),OR(AI32="新手",AI32="偶尔使用",AI32="经常使用"),COUNTIFS($A$7:$A$150,A32)=1)),"需核对数值或ID",IF(OR(AND(O32&lt;&gt;"完成",W32=""),AND(J32&gt;0,W32=""),AND(V32&lt;&gt;"一致",W32="")),"待说明原因",IF(V32&lt;&gt;"一致","条件偏差","纳入"))))))))</x:f>
        <x:v>待运行</x:v>
      </x:c>
      <x:c r="AF32" s="13" t="n">
        <x:f>IF(AE32&lt;&gt;"纳入",0,INDEX('配对比较'!$J$7:$J$42,MATCH(B32,'配对比较'!$A$7:$A$42,0)))</x:f>
        <x:v>0</x:v>
      </x:c>
      <x:c r="AG32" s="13" t="n">
        <x:f>IF(AE32&lt;&gt;"纳入",0,INDEX('配对比较'!$L$7:$L$42,MATCH(B32,'配对比较'!$A$7:$A$42,0)))</x:f>
        <x:v>0</x:v>
      </x:c>
      <x:c r="AH32" s="13" t="str">
        <x:f>IF(INDEX('特性清单'!$B$7:$B$18,MATCH(C32,'特性清单'!$A$7:$A$18,0))="","",IF(INDEX('特性清单'!$J$7:$J$18,MATCH(C32,'特性清单'!$A$7:$A$18,0))="","",INDEX('特性清单'!$J$7:$J$18,MATCH(C32,'特性清单'!$A$7:$A$18,0))))</x:f>
      </x:c>
      <x:c r="AI32" s="10"/>
      <x:c r="AJ32" s="13" t="n">
        <x:f>IF(AND(ISNUMBER(U32),U32&gt;=0),1,0)</x:f>
        <x:v>0</x:v>
      </x:c>
      <x:c r="AK32" s="13" t="str">
        <x:f>IF(AE32&lt;&gt;"纳入","",IF(OR(O32="超时",AA32&gt;AH32),1,0))</x:f>
      </x:c>
    </x:row>
    <x:row r="33" ht="25" customHeight="1">
      <x:c r="A33" s="13" t="str">
        <x:v>F03-R1-TR</x:v>
      </x:c>
      <x:c r="B33" s="13" t="str">
        <x:v>F03-R1</x:v>
      </x:c>
      <x:c r="C33" s="13" t="str">
        <x:v>F03</x:v>
      </x:c>
      <x:c r="D33" s="58" t="n">
        <x:v>1</x:v>
      </x:c>
      <x:c r="E33" s="13" t="str">
        <x:v>Trae</x:v>
      </x:c>
      <x:c r="F33" s="10"/>
      <x:c r="G33" s="56"/>
      <x:c r="H33" s="45"/>
      <x:c r="I33" s="45"/>
      <x:c r="J33" s="48"/>
      <x:c r="K33" s="48"/>
      <x:c r="L33" s="48"/>
      <x:c r="M33" s="56"/>
      <x:c r="N33" s="56"/>
      <x:c r="O33" s="10"/>
      <x:c r="P33" s="56"/>
      <x:c r="Q33" s="56"/>
      <x:c r="R33" s="56"/>
      <x:c r="S33" s="10"/>
      <x:c r="T33" s="10"/>
      <x:c r="U33" s="53"/>
      <x:c r="V33" s="10"/>
      <x:c r="W33" s="10"/>
      <x:c r="X33" s="10"/>
      <x:c r="Y33" s="10"/>
      <x:c r="Z33" s="13" t="str">
        <x:f>IF(INDEX('特性清单'!$B$7:$B$18,MATCH(C33,'特性清单'!$A$7:$A$18,0))="","",IF(INDEX('特性清单'!$H$7:$H$18,MATCH(C33,'特性清单'!$A$7:$A$18,0))="","",INDEX('特性清单'!$H$7:$H$18,MATCH(C33,'特性清单'!$A$7:$A$18,0))))</x:f>
      </x:c>
      <x:c r="AA33" s="50" t="str">
        <x:f>IF(AND(COUNT(H33:J33)=3,I33&gt;=H33,J33&gt;=0),ROUND((I33-H33)*1440-J33,2),"")</x:f>
      </x:c>
      <x:c r="AB33" s="51" t="str">
        <x:f>IF(AND(ISNUMBER(P33),ISNUMBER(Z33),Z33&gt;0,P33&gt;=0,P33&lt;=Z33),P33/Z33,"")</x:f>
      </x:c>
      <x:c r="AC33" s="51" t="str">
        <x:f>IF(AND(ISNUMBER(Q33),ISNUMBER(Z33),Z33&gt;0,Q33&gt;=0,Q33&lt;=Z33),Q33/Z33,"")</x:f>
      </x:c>
      <x:c r="AD33" s="13" t="str">
        <x:f>IF(AE33&lt;&gt;"纳入","",IF(AND(O33="完成",AC33=1,R33=0,S33="通过",T33="通过",AA33&lt;=AH33),1,0))</x:f>
      </x:c>
      <x:c r="AE33" s="13" t="str">
        <x:f>IF(O33="","待运行",IF(O33="进行中","进行中",IF(NOT(OR(O33="完成",O33="超时",O33="工具故障",O33="主动终止")),"需核对终态",IF(OR('试点设置'!$C$15&lt;&gt;"齐备",INDEX('特性清单'!$P$7:$P$18,MATCH(C33,'特性清单'!$A$7:$A$18,0))&lt;&gt;"齐备",D33&gt;INDEX('特性清单'!$K$7:$K$18,MATCH(C33,'特性清单'!$A$7:$A$18,0))),"待补齐试验设置",IF(NOT(AND(F33&lt;&gt;"",COUNT(G33:N33)=8,COUNT(P33:R33)=3,S33&lt;&gt;"",T33&lt;&gt;"",V33&lt;&gt;"",X33&lt;&gt;"",Y33&lt;&gt;"",AI33&lt;&gt;"")),"待补齐记录",IF(NOT(AND(G33&gt;=1,G33&lt;=4,MOD(G33,1)=0,I33&gt;=H33,MIN(J33:N33)&gt;=0,MOD(M33,1)=0,MOD(N33,1)=0,AA33&gt;=0,K33&lt;=AA33,L33&lt;=K33,MIN(P33:R33)&gt;=0,MOD(P33,1)=0,MOD(Q33,1)=0,MOD(R33,1)=0,P33&lt;=Z33,Q33&lt;=Z33,OR(S33="通过",S33="失败",S33="未完成"),OR(T33="通过",T33="失败",T33="未完成"),OR(AI33="新手",AI33="偶尔使用",AI33="经常使用"),COUNTIFS($A$7:$A$150,A33)=1)),"需核对数值或ID",IF(OR(AND(O33&lt;&gt;"完成",W33=""),AND(J33&gt;0,W33=""),AND(V33&lt;&gt;"一致",W33="")),"待说明原因",IF(V33&lt;&gt;"一致","条件偏差","纳入"))))))))</x:f>
        <x:v>待运行</x:v>
      </x:c>
      <x:c r="AF33" s="13" t="n">
        <x:f>IF(AE33&lt;&gt;"纳入",0,INDEX('配对比较'!$J$7:$J$42,MATCH(B33,'配对比较'!$A$7:$A$42,0)))</x:f>
        <x:v>0</x:v>
      </x:c>
      <x:c r="AG33" s="13" t="n">
        <x:f>IF(AE33&lt;&gt;"纳入",0,INDEX('配对比较'!$L$7:$L$42,MATCH(B33,'配对比较'!$A$7:$A$42,0)))</x:f>
        <x:v>0</x:v>
      </x:c>
      <x:c r="AH33" s="13" t="str">
        <x:f>IF(INDEX('特性清单'!$B$7:$B$18,MATCH(C33,'特性清单'!$A$7:$A$18,0))="","",IF(INDEX('特性清单'!$J$7:$J$18,MATCH(C33,'特性清单'!$A$7:$A$18,0))="","",INDEX('特性清单'!$J$7:$J$18,MATCH(C33,'特性清单'!$A$7:$A$18,0))))</x:f>
      </x:c>
      <x:c r="AI33" s="10"/>
      <x:c r="AJ33" s="13" t="n">
        <x:f>IF(AND(ISNUMBER(U33),U33&gt;=0),1,0)</x:f>
        <x:v>0</x:v>
      </x:c>
      <x:c r="AK33" s="13" t="str">
        <x:f>IF(AE33&lt;&gt;"纳入","",IF(OR(O33="超时",AA33&gt;AH33),1,0))</x:f>
      </x:c>
    </x:row>
    <x:row r="34" ht="25" customHeight="1">
      <x:c r="A34" s="13" t="str">
        <x:v>F03-R1-CA</x:v>
      </x:c>
      <x:c r="B34" s="13" t="str">
        <x:v>F03-R1</x:v>
      </x:c>
      <x:c r="C34" s="13" t="str">
        <x:v>F03</x:v>
      </x:c>
      <x:c r="D34" s="58" t="n">
        <x:v>1</x:v>
      </x:c>
      <x:c r="E34" s="13" t="str">
        <x:v>CodeArts</x:v>
      </x:c>
      <x:c r="F34" s="10"/>
      <x:c r="G34" s="56"/>
      <x:c r="H34" s="45"/>
      <x:c r="I34" s="45"/>
      <x:c r="J34" s="48"/>
      <x:c r="K34" s="48"/>
      <x:c r="L34" s="48"/>
      <x:c r="M34" s="56"/>
      <x:c r="N34" s="56"/>
      <x:c r="O34" s="10"/>
      <x:c r="P34" s="56"/>
      <x:c r="Q34" s="56"/>
      <x:c r="R34" s="56"/>
      <x:c r="S34" s="10"/>
      <x:c r="T34" s="10"/>
      <x:c r="U34" s="53"/>
      <x:c r="V34" s="10"/>
      <x:c r="W34" s="10"/>
      <x:c r="X34" s="10"/>
      <x:c r="Y34" s="10"/>
      <x:c r="Z34" s="13" t="str">
        <x:f>IF(INDEX('特性清单'!$B$7:$B$18,MATCH(C34,'特性清单'!$A$7:$A$18,0))="","",IF(INDEX('特性清单'!$H$7:$H$18,MATCH(C34,'特性清单'!$A$7:$A$18,0))="","",INDEX('特性清单'!$H$7:$H$18,MATCH(C34,'特性清单'!$A$7:$A$18,0))))</x:f>
      </x:c>
      <x:c r="AA34" s="50" t="str">
        <x:f>IF(AND(COUNT(H34:J34)=3,I34&gt;=H34,J34&gt;=0),ROUND((I34-H34)*1440-J34,2),"")</x:f>
      </x:c>
      <x:c r="AB34" s="51" t="str">
        <x:f>IF(AND(ISNUMBER(P34),ISNUMBER(Z34),Z34&gt;0,P34&gt;=0,P34&lt;=Z34),P34/Z34,"")</x:f>
      </x:c>
      <x:c r="AC34" s="51" t="str">
        <x:f>IF(AND(ISNUMBER(Q34),ISNUMBER(Z34),Z34&gt;0,Q34&gt;=0,Q34&lt;=Z34),Q34/Z34,"")</x:f>
      </x:c>
      <x:c r="AD34" s="13" t="str">
        <x:f>IF(AE34&lt;&gt;"纳入","",IF(AND(O34="完成",AC34=1,R34=0,S34="通过",T34="通过",AA34&lt;=AH34),1,0))</x:f>
      </x:c>
      <x:c r="AE34" s="13" t="str">
        <x:f>IF(O34="","待运行",IF(O34="进行中","进行中",IF(NOT(OR(O34="完成",O34="超时",O34="工具故障",O34="主动终止")),"需核对终态",IF(OR('试点设置'!$C$15&lt;&gt;"齐备",INDEX('特性清单'!$P$7:$P$18,MATCH(C34,'特性清单'!$A$7:$A$18,0))&lt;&gt;"齐备",D34&gt;INDEX('特性清单'!$K$7:$K$18,MATCH(C34,'特性清单'!$A$7:$A$18,0))),"待补齐试验设置",IF(NOT(AND(F34&lt;&gt;"",COUNT(G34:N34)=8,COUNT(P34:R34)=3,S34&lt;&gt;"",T34&lt;&gt;"",V34&lt;&gt;"",X34&lt;&gt;"",Y34&lt;&gt;"",AI34&lt;&gt;"")),"待补齐记录",IF(NOT(AND(G34&gt;=1,G34&lt;=4,MOD(G34,1)=0,I34&gt;=H34,MIN(J34:N34)&gt;=0,MOD(M34,1)=0,MOD(N34,1)=0,AA34&gt;=0,K34&lt;=AA34,L34&lt;=K34,MIN(P34:R34)&gt;=0,MOD(P34,1)=0,MOD(Q34,1)=0,MOD(R34,1)=0,P34&lt;=Z34,Q34&lt;=Z34,OR(S34="通过",S34="失败",S34="未完成"),OR(T34="通过",T34="失败",T34="未完成"),OR(AI34="新手",AI34="偶尔使用",AI34="经常使用"),COUNTIFS($A$7:$A$150,A34)=1)),"需核对数值或ID",IF(OR(AND(O34&lt;&gt;"完成",W34=""),AND(J34&gt;0,W34=""),AND(V34&lt;&gt;"一致",W34="")),"待说明原因",IF(V34&lt;&gt;"一致","条件偏差","纳入"))))))))</x:f>
        <x:v>待运行</x:v>
      </x:c>
      <x:c r="AF34" s="13" t="n">
        <x:f>IF(AE34&lt;&gt;"纳入",0,INDEX('配对比较'!$J$7:$J$42,MATCH(B34,'配对比较'!$A$7:$A$42,0)))</x:f>
        <x:v>0</x:v>
      </x:c>
      <x:c r="AG34" s="13" t="n">
        <x:f>IF(AE34&lt;&gt;"纳入",0,INDEX('配对比较'!$L$7:$L$42,MATCH(B34,'配对比较'!$A$7:$A$42,0)))</x:f>
        <x:v>0</x:v>
      </x:c>
      <x:c r="AH34" s="13" t="str">
        <x:f>IF(INDEX('特性清单'!$B$7:$B$18,MATCH(C34,'特性清单'!$A$7:$A$18,0))="","",IF(INDEX('特性清单'!$J$7:$J$18,MATCH(C34,'特性清单'!$A$7:$A$18,0))="","",INDEX('特性清单'!$J$7:$J$18,MATCH(C34,'特性清单'!$A$7:$A$18,0))))</x:f>
      </x:c>
      <x:c r="AI34" s="10"/>
      <x:c r="AJ34" s="13" t="n">
        <x:f>IF(AND(ISNUMBER(U34),U34&gt;=0),1,0)</x:f>
        <x:v>0</x:v>
      </x:c>
      <x:c r="AK34" s="13" t="str">
        <x:f>IF(AE34&lt;&gt;"纳入","",IF(OR(O34="超时",AA34&gt;AH34),1,0))</x:f>
      </x:c>
    </x:row>
    <x:row r="35" ht="25" customHeight="1">
      <x:c r="A35" s="13" t="str">
        <x:v>F03-R2-CC</x:v>
      </x:c>
      <x:c r="B35" s="13" t="str">
        <x:v>F03-R2</x:v>
      </x:c>
      <x:c r="C35" s="13" t="str">
        <x:v>F03</x:v>
      </x:c>
      <x:c r="D35" s="58" t="n">
        <x:v>2</x:v>
      </x:c>
      <x:c r="E35" s="13" t="str">
        <x:v>Claude Code</x:v>
      </x:c>
      <x:c r="F35" s="10"/>
      <x:c r="G35" s="56"/>
      <x:c r="H35" s="45"/>
      <x:c r="I35" s="45"/>
      <x:c r="J35" s="48"/>
      <x:c r="K35" s="48"/>
      <x:c r="L35" s="48"/>
      <x:c r="M35" s="56"/>
      <x:c r="N35" s="56"/>
      <x:c r="O35" s="10"/>
      <x:c r="P35" s="56"/>
      <x:c r="Q35" s="56"/>
      <x:c r="R35" s="56"/>
      <x:c r="S35" s="10"/>
      <x:c r="T35" s="10"/>
      <x:c r="U35" s="53"/>
      <x:c r="V35" s="10"/>
      <x:c r="W35" s="10"/>
      <x:c r="X35" s="10"/>
      <x:c r="Y35" s="10"/>
      <x:c r="Z35" s="13" t="str">
        <x:f>IF(INDEX('特性清单'!$B$7:$B$18,MATCH(C35,'特性清单'!$A$7:$A$18,0))="","",IF(INDEX('特性清单'!$H$7:$H$18,MATCH(C35,'特性清单'!$A$7:$A$18,0))="","",INDEX('特性清单'!$H$7:$H$18,MATCH(C35,'特性清单'!$A$7:$A$18,0))))</x:f>
      </x:c>
      <x:c r="AA35" s="50" t="str">
        <x:f>IF(AND(COUNT(H35:J35)=3,I35&gt;=H35,J35&gt;=0),ROUND((I35-H35)*1440-J35,2),"")</x:f>
      </x:c>
      <x:c r="AB35" s="51" t="str">
        <x:f>IF(AND(ISNUMBER(P35),ISNUMBER(Z35),Z35&gt;0,P35&gt;=0,P35&lt;=Z35),P35/Z35,"")</x:f>
      </x:c>
      <x:c r="AC35" s="51" t="str">
        <x:f>IF(AND(ISNUMBER(Q35),ISNUMBER(Z35),Z35&gt;0,Q35&gt;=0,Q35&lt;=Z35),Q35/Z35,"")</x:f>
      </x:c>
      <x:c r="AD35" s="13" t="str">
        <x:f>IF(AE35&lt;&gt;"纳入","",IF(AND(O35="完成",AC35=1,R35=0,S35="通过",T35="通过",AA35&lt;=AH35),1,0))</x:f>
      </x:c>
      <x:c r="AE35" s="13" t="str">
        <x:f>IF(O35="","待运行",IF(O35="进行中","进行中",IF(NOT(OR(O35="完成",O35="超时",O35="工具故障",O35="主动终止")),"需核对终态",IF(OR('试点设置'!$C$15&lt;&gt;"齐备",INDEX('特性清单'!$P$7:$P$18,MATCH(C35,'特性清单'!$A$7:$A$18,0))&lt;&gt;"齐备",D35&gt;INDEX('特性清单'!$K$7:$K$18,MATCH(C35,'特性清单'!$A$7:$A$18,0))),"待补齐试验设置",IF(NOT(AND(F35&lt;&gt;"",COUNT(G35:N35)=8,COUNT(P35:R35)=3,S35&lt;&gt;"",T35&lt;&gt;"",V35&lt;&gt;"",X35&lt;&gt;"",Y35&lt;&gt;"",AI35&lt;&gt;"")),"待补齐记录",IF(NOT(AND(G35&gt;=1,G35&lt;=4,MOD(G35,1)=0,I35&gt;=H35,MIN(J35:N35)&gt;=0,MOD(M35,1)=0,MOD(N35,1)=0,AA35&gt;=0,K35&lt;=AA35,L35&lt;=K35,MIN(P35:R35)&gt;=0,MOD(P35,1)=0,MOD(Q35,1)=0,MOD(R35,1)=0,P35&lt;=Z35,Q35&lt;=Z35,OR(S35="通过",S35="失败",S35="未完成"),OR(T35="通过",T35="失败",T35="未完成"),OR(AI35="新手",AI35="偶尔使用",AI35="经常使用"),COUNTIFS($A$7:$A$150,A35)=1)),"需核对数值或ID",IF(OR(AND(O35&lt;&gt;"完成",W35=""),AND(J35&gt;0,W35=""),AND(V35&lt;&gt;"一致",W35="")),"待说明原因",IF(V35&lt;&gt;"一致","条件偏差","纳入"))))))))</x:f>
        <x:v>待运行</x:v>
      </x:c>
      <x:c r="AF35" s="13" t="n">
        <x:f>IF(AE35&lt;&gt;"纳入",0,INDEX('配对比较'!$J$7:$J$42,MATCH(B35,'配对比较'!$A$7:$A$42,0)))</x:f>
        <x:v>0</x:v>
      </x:c>
      <x:c r="AG35" s="13" t="n">
        <x:f>IF(AE35&lt;&gt;"纳入",0,INDEX('配对比较'!$L$7:$L$42,MATCH(B35,'配对比较'!$A$7:$A$42,0)))</x:f>
        <x:v>0</x:v>
      </x:c>
      <x:c r="AH35" s="13" t="str">
        <x:f>IF(INDEX('特性清单'!$B$7:$B$18,MATCH(C35,'特性清单'!$A$7:$A$18,0))="","",IF(INDEX('特性清单'!$J$7:$J$18,MATCH(C35,'特性清单'!$A$7:$A$18,0))="","",INDEX('特性清单'!$J$7:$J$18,MATCH(C35,'特性清单'!$A$7:$A$18,0))))</x:f>
      </x:c>
      <x:c r="AI35" s="10"/>
      <x:c r="AJ35" s="13" t="n">
        <x:f>IF(AND(ISNUMBER(U35),U35&gt;=0),1,0)</x:f>
        <x:v>0</x:v>
      </x:c>
      <x:c r="AK35" s="13" t="str">
        <x:f>IF(AE35&lt;&gt;"纳入","",IF(OR(O35="超时",AA35&gt;AH35),1,0))</x:f>
      </x:c>
    </x:row>
    <x:row r="36" ht="25" customHeight="1">
      <x:c r="A36" s="13" t="str">
        <x:v>F03-R2-CX</x:v>
      </x:c>
      <x:c r="B36" s="13" t="str">
        <x:v>F03-R2</x:v>
      </x:c>
      <x:c r="C36" s="13" t="str">
        <x:v>F03</x:v>
      </x:c>
      <x:c r="D36" s="58" t="n">
        <x:v>2</x:v>
      </x:c>
      <x:c r="E36" s="13" t="str">
        <x:v>Codex</x:v>
      </x:c>
      <x:c r="F36" s="10"/>
      <x:c r="G36" s="56"/>
      <x:c r="H36" s="45"/>
      <x:c r="I36" s="45"/>
      <x:c r="J36" s="48"/>
      <x:c r="K36" s="48"/>
      <x:c r="L36" s="48"/>
      <x:c r="M36" s="56"/>
      <x:c r="N36" s="56"/>
      <x:c r="O36" s="10"/>
      <x:c r="P36" s="56"/>
      <x:c r="Q36" s="56"/>
      <x:c r="R36" s="56"/>
      <x:c r="S36" s="10"/>
      <x:c r="T36" s="10"/>
      <x:c r="U36" s="53"/>
      <x:c r="V36" s="10"/>
      <x:c r="W36" s="10"/>
      <x:c r="X36" s="10"/>
      <x:c r="Y36" s="10"/>
      <x:c r="Z36" s="13" t="str">
        <x:f>IF(INDEX('特性清单'!$B$7:$B$18,MATCH(C36,'特性清单'!$A$7:$A$18,0))="","",IF(INDEX('特性清单'!$H$7:$H$18,MATCH(C36,'特性清单'!$A$7:$A$18,0))="","",INDEX('特性清单'!$H$7:$H$18,MATCH(C36,'特性清单'!$A$7:$A$18,0))))</x:f>
      </x:c>
      <x:c r="AA36" s="50" t="str">
        <x:f>IF(AND(COUNT(H36:J36)=3,I36&gt;=H36,J36&gt;=0),ROUND((I36-H36)*1440-J36,2),"")</x:f>
      </x:c>
      <x:c r="AB36" s="51" t="str">
        <x:f>IF(AND(ISNUMBER(P36),ISNUMBER(Z36),Z36&gt;0,P36&gt;=0,P36&lt;=Z36),P36/Z36,"")</x:f>
      </x:c>
      <x:c r="AC36" s="51" t="str">
        <x:f>IF(AND(ISNUMBER(Q36),ISNUMBER(Z36),Z36&gt;0,Q36&gt;=0,Q36&lt;=Z36),Q36/Z36,"")</x:f>
      </x:c>
      <x:c r="AD36" s="13" t="str">
        <x:f>IF(AE36&lt;&gt;"纳入","",IF(AND(O36="完成",AC36=1,R36=0,S36="通过",T36="通过",AA36&lt;=AH36),1,0))</x:f>
      </x:c>
      <x:c r="AE36" s="13" t="str">
        <x:f>IF(O36="","待运行",IF(O36="进行中","进行中",IF(NOT(OR(O36="完成",O36="超时",O36="工具故障",O36="主动终止")),"需核对终态",IF(OR('试点设置'!$C$15&lt;&gt;"齐备",INDEX('特性清单'!$P$7:$P$18,MATCH(C36,'特性清单'!$A$7:$A$18,0))&lt;&gt;"齐备",D36&gt;INDEX('特性清单'!$K$7:$K$18,MATCH(C36,'特性清单'!$A$7:$A$18,0))),"待补齐试验设置",IF(NOT(AND(F36&lt;&gt;"",COUNT(G36:N36)=8,COUNT(P36:R36)=3,S36&lt;&gt;"",T36&lt;&gt;"",V36&lt;&gt;"",X36&lt;&gt;"",Y36&lt;&gt;"",AI36&lt;&gt;"")),"待补齐记录",IF(NOT(AND(G36&gt;=1,G36&lt;=4,MOD(G36,1)=0,I36&gt;=H36,MIN(J36:N36)&gt;=0,MOD(M36,1)=0,MOD(N36,1)=0,AA36&gt;=0,K36&lt;=AA36,L36&lt;=K36,MIN(P36:R36)&gt;=0,MOD(P36,1)=0,MOD(Q36,1)=0,MOD(R36,1)=0,P36&lt;=Z36,Q36&lt;=Z36,OR(S36="通过",S36="失败",S36="未完成"),OR(T36="通过",T36="失败",T36="未完成"),OR(AI36="新手",AI36="偶尔使用",AI36="经常使用"),COUNTIFS($A$7:$A$150,A36)=1)),"需核对数值或ID",IF(OR(AND(O36&lt;&gt;"完成",W36=""),AND(J36&gt;0,W36=""),AND(V36&lt;&gt;"一致",W36="")),"待说明原因",IF(V36&lt;&gt;"一致","条件偏差","纳入"))))))))</x:f>
        <x:v>待运行</x:v>
      </x:c>
      <x:c r="AF36" s="13" t="n">
        <x:f>IF(AE36&lt;&gt;"纳入",0,INDEX('配对比较'!$J$7:$J$42,MATCH(B36,'配对比较'!$A$7:$A$42,0)))</x:f>
        <x:v>0</x:v>
      </x:c>
      <x:c r="AG36" s="13" t="n">
        <x:f>IF(AE36&lt;&gt;"纳入",0,INDEX('配对比较'!$L$7:$L$42,MATCH(B36,'配对比较'!$A$7:$A$42,0)))</x:f>
        <x:v>0</x:v>
      </x:c>
      <x:c r="AH36" s="13" t="str">
        <x:f>IF(INDEX('特性清单'!$B$7:$B$18,MATCH(C36,'特性清单'!$A$7:$A$18,0))="","",IF(INDEX('特性清单'!$J$7:$J$18,MATCH(C36,'特性清单'!$A$7:$A$18,0))="","",INDEX('特性清单'!$J$7:$J$18,MATCH(C36,'特性清单'!$A$7:$A$18,0))))</x:f>
      </x:c>
      <x:c r="AI36" s="10"/>
      <x:c r="AJ36" s="13" t="n">
        <x:f>IF(AND(ISNUMBER(U36),U36&gt;=0),1,0)</x:f>
        <x:v>0</x:v>
      </x:c>
      <x:c r="AK36" s="13" t="str">
        <x:f>IF(AE36&lt;&gt;"纳入","",IF(OR(O36="超时",AA36&gt;AH36),1,0))</x:f>
      </x:c>
    </x:row>
    <x:row r="37" ht="25" customHeight="1">
      <x:c r="A37" s="13" t="str">
        <x:v>F03-R2-TR</x:v>
      </x:c>
      <x:c r="B37" s="13" t="str">
        <x:v>F03-R2</x:v>
      </x:c>
      <x:c r="C37" s="13" t="str">
        <x:v>F03</x:v>
      </x:c>
      <x:c r="D37" s="58" t="n">
        <x:v>2</x:v>
      </x:c>
      <x:c r="E37" s="13" t="str">
        <x:v>Trae</x:v>
      </x:c>
      <x:c r="F37" s="10"/>
      <x:c r="G37" s="56"/>
      <x:c r="H37" s="45"/>
      <x:c r="I37" s="45"/>
      <x:c r="J37" s="48"/>
      <x:c r="K37" s="48"/>
      <x:c r="L37" s="48"/>
      <x:c r="M37" s="56"/>
      <x:c r="N37" s="56"/>
      <x:c r="O37" s="10"/>
      <x:c r="P37" s="56"/>
      <x:c r="Q37" s="56"/>
      <x:c r="R37" s="56"/>
      <x:c r="S37" s="10"/>
      <x:c r="T37" s="10"/>
      <x:c r="U37" s="53"/>
      <x:c r="V37" s="10"/>
      <x:c r="W37" s="10"/>
      <x:c r="X37" s="10"/>
      <x:c r="Y37" s="10"/>
      <x:c r="Z37" s="13" t="str">
        <x:f>IF(INDEX('特性清单'!$B$7:$B$18,MATCH(C37,'特性清单'!$A$7:$A$18,0))="","",IF(INDEX('特性清单'!$H$7:$H$18,MATCH(C37,'特性清单'!$A$7:$A$18,0))="","",INDEX('特性清单'!$H$7:$H$18,MATCH(C37,'特性清单'!$A$7:$A$18,0))))</x:f>
      </x:c>
      <x:c r="AA37" s="50" t="str">
        <x:f>IF(AND(COUNT(H37:J37)=3,I37&gt;=H37,J37&gt;=0),ROUND((I37-H37)*1440-J37,2),"")</x:f>
      </x:c>
      <x:c r="AB37" s="51" t="str">
        <x:f>IF(AND(ISNUMBER(P37),ISNUMBER(Z37),Z37&gt;0,P37&gt;=0,P37&lt;=Z37),P37/Z37,"")</x:f>
      </x:c>
      <x:c r="AC37" s="51" t="str">
        <x:f>IF(AND(ISNUMBER(Q37),ISNUMBER(Z37),Z37&gt;0,Q37&gt;=0,Q37&lt;=Z37),Q37/Z37,"")</x:f>
      </x:c>
      <x:c r="AD37" s="13" t="str">
        <x:f>IF(AE37&lt;&gt;"纳入","",IF(AND(O37="完成",AC37=1,R37=0,S37="通过",T37="通过",AA37&lt;=AH37),1,0))</x:f>
      </x:c>
      <x:c r="AE37" s="13" t="str">
        <x:f>IF(O37="","待运行",IF(O37="进行中","进行中",IF(NOT(OR(O37="完成",O37="超时",O37="工具故障",O37="主动终止")),"需核对终态",IF(OR('试点设置'!$C$15&lt;&gt;"齐备",INDEX('特性清单'!$P$7:$P$18,MATCH(C37,'特性清单'!$A$7:$A$18,0))&lt;&gt;"齐备",D37&gt;INDEX('特性清单'!$K$7:$K$18,MATCH(C37,'特性清单'!$A$7:$A$18,0))),"待补齐试验设置",IF(NOT(AND(F37&lt;&gt;"",COUNT(G37:N37)=8,COUNT(P37:R37)=3,S37&lt;&gt;"",T37&lt;&gt;"",V37&lt;&gt;"",X37&lt;&gt;"",Y37&lt;&gt;"",AI37&lt;&gt;"")),"待补齐记录",IF(NOT(AND(G37&gt;=1,G37&lt;=4,MOD(G37,1)=0,I37&gt;=H37,MIN(J37:N37)&gt;=0,MOD(M37,1)=0,MOD(N37,1)=0,AA37&gt;=0,K37&lt;=AA37,L37&lt;=K37,MIN(P37:R37)&gt;=0,MOD(P37,1)=0,MOD(Q37,1)=0,MOD(R37,1)=0,P37&lt;=Z37,Q37&lt;=Z37,OR(S37="通过",S37="失败",S37="未完成"),OR(T37="通过",T37="失败",T37="未完成"),OR(AI37="新手",AI37="偶尔使用",AI37="经常使用"),COUNTIFS($A$7:$A$150,A37)=1)),"需核对数值或ID",IF(OR(AND(O37&lt;&gt;"完成",W37=""),AND(J37&gt;0,W37=""),AND(V37&lt;&gt;"一致",W37="")),"待说明原因",IF(V37&lt;&gt;"一致","条件偏差","纳入"))))))))</x:f>
        <x:v>待运行</x:v>
      </x:c>
      <x:c r="AF37" s="13" t="n">
        <x:f>IF(AE37&lt;&gt;"纳入",0,INDEX('配对比较'!$J$7:$J$42,MATCH(B37,'配对比较'!$A$7:$A$42,0)))</x:f>
        <x:v>0</x:v>
      </x:c>
      <x:c r="AG37" s="13" t="n">
        <x:f>IF(AE37&lt;&gt;"纳入",0,INDEX('配对比较'!$L$7:$L$42,MATCH(B37,'配对比较'!$A$7:$A$42,0)))</x:f>
        <x:v>0</x:v>
      </x:c>
      <x:c r="AH37" s="13" t="str">
        <x:f>IF(INDEX('特性清单'!$B$7:$B$18,MATCH(C37,'特性清单'!$A$7:$A$18,0))="","",IF(INDEX('特性清单'!$J$7:$J$18,MATCH(C37,'特性清单'!$A$7:$A$18,0))="","",INDEX('特性清单'!$J$7:$J$18,MATCH(C37,'特性清单'!$A$7:$A$18,0))))</x:f>
      </x:c>
      <x:c r="AI37" s="10"/>
      <x:c r="AJ37" s="13" t="n">
        <x:f>IF(AND(ISNUMBER(U37),U37&gt;=0),1,0)</x:f>
        <x:v>0</x:v>
      </x:c>
      <x:c r="AK37" s="13" t="str">
        <x:f>IF(AE37&lt;&gt;"纳入","",IF(OR(O37="超时",AA37&gt;AH37),1,0))</x:f>
      </x:c>
    </x:row>
    <x:row r="38" ht="25" customHeight="1">
      <x:c r="A38" s="13" t="str">
        <x:v>F03-R2-CA</x:v>
      </x:c>
      <x:c r="B38" s="13" t="str">
        <x:v>F03-R2</x:v>
      </x:c>
      <x:c r="C38" s="13" t="str">
        <x:v>F03</x:v>
      </x:c>
      <x:c r="D38" s="58" t="n">
        <x:v>2</x:v>
      </x:c>
      <x:c r="E38" s="13" t="str">
        <x:v>CodeArts</x:v>
      </x:c>
      <x:c r="F38" s="10"/>
      <x:c r="G38" s="56"/>
      <x:c r="H38" s="45"/>
      <x:c r="I38" s="45"/>
      <x:c r="J38" s="48"/>
      <x:c r="K38" s="48"/>
      <x:c r="L38" s="48"/>
      <x:c r="M38" s="56"/>
      <x:c r="N38" s="56"/>
      <x:c r="O38" s="10"/>
      <x:c r="P38" s="56"/>
      <x:c r="Q38" s="56"/>
      <x:c r="R38" s="56"/>
      <x:c r="S38" s="10"/>
      <x:c r="T38" s="10"/>
      <x:c r="U38" s="53"/>
      <x:c r="V38" s="10"/>
      <x:c r="W38" s="10"/>
      <x:c r="X38" s="10"/>
      <x:c r="Y38" s="10"/>
      <x:c r="Z38" s="13" t="str">
        <x:f>IF(INDEX('特性清单'!$B$7:$B$18,MATCH(C38,'特性清单'!$A$7:$A$18,0))="","",IF(INDEX('特性清单'!$H$7:$H$18,MATCH(C38,'特性清单'!$A$7:$A$18,0))="","",INDEX('特性清单'!$H$7:$H$18,MATCH(C38,'特性清单'!$A$7:$A$18,0))))</x:f>
      </x:c>
      <x:c r="AA38" s="50" t="str">
        <x:f>IF(AND(COUNT(H38:J38)=3,I38&gt;=H38,J38&gt;=0),ROUND((I38-H38)*1440-J38,2),"")</x:f>
      </x:c>
      <x:c r="AB38" s="51" t="str">
        <x:f>IF(AND(ISNUMBER(P38),ISNUMBER(Z38),Z38&gt;0,P38&gt;=0,P38&lt;=Z38),P38/Z38,"")</x:f>
      </x:c>
      <x:c r="AC38" s="51" t="str">
        <x:f>IF(AND(ISNUMBER(Q38),ISNUMBER(Z38),Z38&gt;0,Q38&gt;=0,Q38&lt;=Z38),Q38/Z38,"")</x:f>
      </x:c>
      <x:c r="AD38" s="13" t="str">
        <x:f>IF(AE38&lt;&gt;"纳入","",IF(AND(O38="完成",AC38=1,R38=0,S38="通过",T38="通过",AA38&lt;=AH38),1,0))</x:f>
      </x:c>
      <x:c r="AE38" s="13" t="str">
        <x:f>IF(O38="","待运行",IF(O38="进行中","进行中",IF(NOT(OR(O38="完成",O38="超时",O38="工具故障",O38="主动终止")),"需核对终态",IF(OR('试点设置'!$C$15&lt;&gt;"齐备",INDEX('特性清单'!$P$7:$P$18,MATCH(C38,'特性清单'!$A$7:$A$18,0))&lt;&gt;"齐备",D38&gt;INDEX('特性清单'!$K$7:$K$18,MATCH(C38,'特性清单'!$A$7:$A$18,0))),"待补齐试验设置",IF(NOT(AND(F38&lt;&gt;"",COUNT(G38:N38)=8,COUNT(P38:R38)=3,S38&lt;&gt;"",T38&lt;&gt;"",V38&lt;&gt;"",X38&lt;&gt;"",Y38&lt;&gt;"",AI38&lt;&gt;"")),"待补齐记录",IF(NOT(AND(G38&gt;=1,G38&lt;=4,MOD(G38,1)=0,I38&gt;=H38,MIN(J38:N38)&gt;=0,MOD(M38,1)=0,MOD(N38,1)=0,AA38&gt;=0,K38&lt;=AA38,L38&lt;=K38,MIN(P38:R38)&gt;=0,MOD(P38,1)=0,MOD(Q38,1)=0,MOD(R38,1)=0,P38&lt;=Z38,Q38&lt;=Z38,OR(S38="通过",S38="失败",S38="未完成"),OR(T38="通过",T38="失败",T38="未完成"),OR(AI38="新手",AI38="偶尔使用",AI38="经常使用"),COUNTIFS($A$7:$A$150,A38)=1)),"需核对数值或ID",IF(OR(AND(O38&lt;&gt;"完成",W38=""),AND(J38&gt;0,W38=""),AND(V38&lt;&gt;"一致",W38="")),"待说明原因",IF(V38&lt;&gt;"一致","条件偏差","纳入"))))))))</x:f>
        <x:v>待运行</x:v>
      </x:c>
      <x:c r="AF38" s="13" t="n">
        <x:f>IF(AE38&lt;&gt;"纳入",0,INDEX('配对比较'!$J$7:$J$42,MATCH(B38,'配对比较'!$A$7:$A$42,0)))</x:f>
        <x:v>0</x:v>
      </x:c>
      <x:c r="AG38" s="13" t="n">
        <x:f>IF(AE38&lt;&gt;"纳入",0,INDEX('配对比较'!$L$7:$L$42,MATCH(B38,'配对比较'!$A$7:$A$42,0)))</x:f>
        <x:v>0</x:v>
      </x:c>
      <x:c r="AH38" s="13" t="str">
        <x:f>IF(INDEX('特性清单'!$B$7:$B$18,MATCH(C38,'特性清单'!$A$7:$A$18,0))="","",IF(INDEX('特性清单'!$J$7:$J$18,MATCH(C38,'特性清单'!$A$7:$A$18,0))="","",INDEX('特性清单'!$J$7:$J$18,MATCH(C38,'特性清单'!$A$7:$A$18,0))))</x:f>
      </x:c>
      <x:c r="AI38" s="10"/>
      <x:c r="AJ38" s="13" t="n">
        <x:f>IF(AND(ISNUMBER(U38),U38&gt;=0),1,0)</x:f>
        <x:v>0</x:v>
      </x:c>
      <x:c r="AK38" s="13" t="str">
        <x:f>IF(AE38&lt;&gt;"纳入","",IF(OR(O38="超时",AA38&gt;AH38),1,0))</x:f>
      </x:c>
    </x:row>
    <x:row r="39" ht="25" customHeight="1">
      <x:c r="A39" s="13" t="str">
        <x:v>F03-R3-CC</x:v>
      </x:c>
      <x:c r="B39" s="13" t="str">
        <x:v>F03-R3</x:v>
      </x:c>
      <x:c r="C39" s="13" t="str">
        <x:v>F03</x:v>
      </x:c>
      <x:c r="D39" s="58" t="n">
        <x:v>3</x:v>
      </x:c>
      <x:c r="E39" s="13" t="str">
        <x:v>Claude Code</x:v>
      </x:c>
      <x:c r="F39" s="10"/>
      <x:c r="G39" s="56"/>
      <x:c r="H39" s="45"/>
      <x:c r="I39" s="45"/>
      <x:c r="J39" s="48"/>
      <x:c r="K39" s="48"/>
      <x:c r="L39" s="48"/>
      <x:c r="M39" s="56"/>
      <x:c r="N39" s="56"/>
      <x:c r="O39" s="10"/>
      <x:c r="P39" s="56"/>
      <x:c r="Q39" s="56"/>
      <x:c r="R39" s="56"/>
      <x:c r="S39" s="10"/>
      <x:c r="T39" s="10"/>
      <x:c r="U39" s="53"/>
      <x:c r="V39" s="10"/>
      <x:c r="W39" s="10"/>
      <x:c r="X39" s="10"/>
      <x:c r="Y39" s="10"/>
      <x:c r="Z39" s="13" t="str">
        <x:f>IF(INDEX('特性清单'!$B$7:$B$18,MATCH(C39,'特性清单'!$A$7:$A$18,0))="","",IF(INDEX('特性清单'!$H$7:$H$18,MATCH(C39,'特性清单'!$A$7:$A$18,0))="","",INDEX('特性清单'!$H$7:$H$18,MATCH(C39,'特性清单'!$A$7:$A$18,0))))</x:f>
      </x:c>
      <x:c r="AA39" s="50" t="str">
        <x:f>IF(AND(COUNT(H39:J39)=3,I39&gt;=H39,J39&gt;=0),ROUND((I39-H39)*1440-J39,2),"")</x:f>
      </x:c>
      <x:c r="AB39" s="51" t="str">
        <x:f>IF(AND(ISNUMBER(P39),ISNUMBER(Z39),Z39&gt;0,P39&gt;=0,P39&lt;=Z39),P39/Z39,"")</x:f>
      </x:c>
      <x:c r="AC39" s="51" t="str">
        <x:f>IF(AND(ISNUMBER(Q39),ISNUMBER(Z39),Z39&gt;0,Q39&gt;=0,Q39&lt;=Z39),Q39/Z39,"")</x:f>
      </x:c>
      <x:c r="AD39" s="13" t="str">
        <x:f>IF(AE39&lt;&gt;"纳入","",IF(AND(O39="完成",AC39=1,R39=0,S39="通过",T39="通过",AA39&lt;=AH39),1,0))</x:f>
      </x:c>
      <x:c r="AE39" s="13" t="str">
        <x:f>IF(O39="","待运行",IF(O39="进行中","进行中",IF(NOT(OR(O39="完成",O39="超时",O39="工具故障",O39="主动终止")),"需核对终态",IF(OR('试点设置'!$C$15&lt;&gt;"齐备",INDEX('特性清单'!$P$7:$P$18,MATCH(C39,'特性清单'!$A$7:$A$18,0))&lt;&gt;"齐备",D39&gt;INDEX('特性清单'!$K$7:$K$18,MATCH(C39,'特性清单'!$A$7:$A$18,0))),"待补齐试验设置",IF(NOT(AND(F39&lt;&gt;"",COUNT(G39:N39)=8,COUNT(P39:R39)=3,S39&lt;&gt;"",T39&lt;&gt;"",V39&lt;&gt;"",X39&lt;&gt;"",Y39&lt;&gt;"",AI39&lt;&gt;"")),"待补齐记录",IF(NOT(AND(G39&gt;=1,G39&lt;=4,MOD(G39,1)=0,I39&gt;=H39,MIN(J39:N39)&gt;=0,MOD(M39,1)=0,MOD(N39,1)=0,AA39&gt;=0,K39&lt;=AA39,L39&lt;=K39,MIN(P39:R39)&gt;=0,MOD(P39,1)=0,MOD(Q39,1)=0,MOD(R39,1)=0,P39&lt;=Z39,Q39&lt;=Z39,OR(S39="通过",S39="失败",S39="未完成"),OR(T39="通过",T39="失败",T39="未完成"),OR(AI39="新手",AI39="偶尔使用",AI39="经常使用"),COUNTIFS($A$7:$A$150,A39)=1)),"需核对数值或ID",IF(OR(AND(O39&lt;&gt;"完成",W39=""),AND(J39&gt;0,W39=""),AND(V39&lt;&gt;"一致",W39="")),"待说明原因",IF(V39&lt;&gt;"一致","条件偏差","纳入"))))))))</x:f>
        <x:v>待运行</x:v>
      </x:c>
      <x:c r="AF39" s="13" t="n">
        <x:f>IF(AE39&lt;&gt;"纳入",0,INDEX('配对比较'!$J$7:$J$42,MATCH(B39,'配对比较'!$A$7:$A$42,0)))</x:f>
        <x:v>0</x:v>
      </x:c>
      <x:c r="AG39" s="13" t="n">
        <x:f>IF(AE39&lt;&gt;"纳入",0,INDEX('配对比较'!$L$7:$L$42,MATCH(B39,'配对比较'!$A$7:$A$42,0)))</x:f>
        <x:v>0</x:v>
      </x:c>
      <x:c r="AH39" s="13" t="str">
        <x:f>IF(INDEX('特性清单'!$B$7:$B$18,MATCH(C39,'特性清单'!$A$7:$A$18,0))="","",IF(INDEX('特性清单'!$J$7:$J$18,MATCH(C39,'特性清单'!$A$7:$A$18,0))="","",INDEX('特性清单'!$J$7:$J$18,MATCH(C39,'特性清单'!$A$7:$A$18,0))))</x:f>
      </x:c>
      <x:c r="AI39" s="10"/>
      <x:c r="AJ39" s="13" t="n">
        <x:f>IF(AND(ISNUMBER(U39),U39&gt;=0),1,0)</x:f>
        <x:v>0</x:v>
      </x:c>
      <x:c r="AK39" s="13" t="str">
        <x:f>IF(AE39&lt;&gt;"纳入","",IF(OR(O39="超时",AA39&gt;AH39),1,0))</x:f>
      </x:c>
    </x:row>
    <x:row r="40" ht="25" customHeight="1">
      <x:c r="A40" s="13" t="str">
        <x:v>F03-R3-CX</x:v>
      </x:c>
      <x:c r="B40" s="13" t="str">
        <x:v>F03-R3</x:v>
      </x:c>
      <x:c r="C40" s="13" t="str">
        <x:v>F03</x:v>
      </x:c>
      <x:c r="D40" s="58" t="n">
        <x:v>3</x:v>
      </x:c>
      <x:c r="E40" s="13" t="str">
        <x:v>Codex</x:v>
      </x:c>
      <x:c r="F40" s="10"/>
      <x:c r="G40" s="56"/>
      <x:c r="H40" s="45"/>
      <x:c r="I40" s="45"/>
      <x:c r="J40" s="48"/>
      <x:c r="K40" s="48"/>
      <x:c r="L40" s="48"/>
      <x:c r="M40" s="56"/>
      <x:c r="N40" s="56"/>
      <x:c r="O40" s="10"/>
      <x:c r="P40" s="56"/>
      <x:c r="Q40" s="56"/>
      <x:c r="R40" s="56"/>
      <x:c r="S40" s="10"/>
      <x:c r="T40" s="10"/>
      <x:c r="U40" s="53"/>
      <x:c r="V40" s="10"/>
      <x:c r="W40" s="10"/>
      <x:c r="X40" s="10"/>
      <x:c r="Y40" s="10"/>
      <x:c r="Z40" s="13" t="str">
        <x:f>IF(INDEX('特性清单'!$B$7:$B$18,MATCH(C40,'特性清单'!$A$7:$A$18,0))="","",IF(INDEX('特性清单'!$H$7:$H$18,MATCH(C40,'特性清单'!$A$7:$A$18,0))="","",INDEX('特性清单'!$H$7:$H$18,MATCH(C40,'特性清单'!$A$7:$A$18,0))))</x:f>
      </x:c>
      <x:c r="AA40" s="50" t="str">
        <x:f>IF(AND(COUNT(H40:J40)=3,I40&gt;=H40,J40&gt;=0),ROUND((I40-H40)*1440-J40,2),"")</x:f>
      </x:c>
      <x:c r="AB40" s="51" t="str">
        <x:f>IF(AND(ISNUMBER(P40),ISNUMBER(Z40),Z40&gt;0,P40&gt;=0,P40&lt;=Z40),P40/Z40,"")</x:f>
      </x:c>
      <x:c r="AC40" s="51" t="str">
        <x:f>IF(AND(ISNUMBER(Q40),ISNUMBER(Z40),Z40&gt;0,Q40&gt;=0,Q40&lt;=Z40),Q40/Z40,"")</x:f>
      </x:c>
      <x:c r="AD40" s="13" t="str">
        <x:f>IF(AE40&lt;&gt;"纳入","",IF(AND(O40="完成",AC40=1,R40=0,S40="通过",T40="通过",AA40&lt;=AH40),1,0))</x:f>
      </x:c>
      <x:c r="AE40" s="13" t="str">
        <x:f>IF(O40="","待运行",IF(O40="进行中","进行中",IF(NOT(OR(O40="完成",O40="超时",O40="工具故障",O40="主动终止")),"需核对终态",IF(OR('试点设置'!$C$15&lt;&gt;"齐备",INDEX('特性清单'!$P$7:$P$18,MATCH(C40,'特性清单'!$A$7:$A$18,0))&lt;&gt;"齐备",D40&gt;INDEX('特性清单'!$K$7:$K$18,MATCH(C40,'特性清单'!$A$7:$A$18,0))),"待补齐试验设置",IF(NOT(AND(F40&lt;&gt;"",COUNT(G40:N40)=8,COUNT(P40:R40)=3,S40&lt;&gt;"",T40&lt;&gt;"",V40&lt;&gt;"",X40&lt;&gt;"",Y40&lt;&gt;"",AI40&lt;&gt;"")),"待补齐记录",IF(NOT(AND(G40&gt;=1,G40&lt;=4,MOD(G40,1)=0,I40&gt;=H40,MIN(J40:N40)&gt;=0,MOD(M40,1)=0,MOD(N40,1)=0,AA40&gt;=0,K40&lt;=AA40,L40&lt;=K40,MIN(P40:R40)&gt;=0,MOD(P40,1)=0,MOD(Q40,1)=0,MOD(R40,1)=0,P40&lt;=Z40,Q40&lt;=Z40,OR(S40="通过",S40="失败",S40="未完成"),OR(T40="通过",T40="失败",T40="未完成"),OR(AI40="新手",AI40="偶尔使用",AI40="经常使用"),COUNTIFS($A$7:$A$150,A40)=1)),"需核对数值或ID",IF(OR(AND(O40&lt;&gt;"完成",W40=""),AND(J40&gt;0,W40=""),AND(V40&lt;&gt;"一致",W40="")),"待说明原因",IF(V40&lt;&gt;"一致","条件偏差","纳入"))))))))</x:f>
        <x:v>待运行</x:v>
      </x:c>
      <x:c r="AF40" s="13" t="n">
        <x:f>IF(AE40&lt;&gt;"纳入",0,INDEX('配对比较'!$J$7:$J$42,MATCH(B40,'配对比较'!$A$7:$A$42,0)))</x:f>
        <x:v>0</x:v>
      </x:c>
      <x:c r="AG40" s="13" t="n">
        <x:f>IF(AE40&lt;&gt;"纳入",0,INDEX('配对比较'!$L$7:$L$42,MATCH(B40,'配对比较'!$A$7:$A$42,0)))</x:f>
        <x:v>0</x:v>
      </x:c>
      <x:c r="AH40" s="13" t="str">
        <x:f>IF(INDEX('特性清单'!$B$7:$B$18,MATCH(C40,'特性清单'!$A$7:$A$18,0))="","",IF(INDEX('特性清单'!$J$7:$J$18,MATCH(C40,'特性清单'!$A$7:$A$18,0))="","",INDEX('特性清单'!$J$7:$J$18,MATCH(C40,'特性清单'!$A$7:$A$18,0))))</x:f>
      </x:c>
      <x:c r="AI40" s="10"/>
      <x:c r="AJ40" s="13" t="n">
        <x:f>IF(AND(ISNUMBER(U40),U40&gt;=0),1,0)</x:f>
        <x:v>0</x:v>
      </x:c>
      <x:c r="AK40" s="13" t="str">
        <x:f>IF(AE40&lt;&gt;"纳入","",IF(OR(O40="超时",AA40&gt;AH40),1,0))</x:f>
      </x:c>
    </x:row>
    <x:row r="41" ht="25" customHeight="1">
      <x:c r="A41" s="13" t="str">
        <x:v>F03-R3-TR</x:v>
      </x:c>
      <x:c r="B41" s="13" t="str">
        <x:v>F03-R3</x:v>
      </x:c>
      <x:c r="C41" s="13" t="str">
        <x:v>F03</x:v>
      </x:c>
      <x:c r="D41" s="58" t="n">
        <x:v>3</x:v>
      </x:c>
      <x:c r="E41" s="13" t="str">
        <x:v>Trae</x:v>
      </x:c>
      <x:c r="F41" s="10"/>
      <x:c r="G41" s="56"/>
      <x:c r="H41" s="45"/>
      <x:c r="I41" s="45"/>
      <x:c r="J41" s="48"/>
      <x:c r="K41" s="48"/>
      <x:c r="L41" s="48"/>
      <x:c r="M41" s="56"/>
      <x:c r="N41" s="56"/>
      <x:c r="O41" s="10"/>
      <x:c r="P41" s="56"/>
      <x:c r="Q41" s="56"/>
      <x:c r="R41" s="56"/>
      <x:c r="S41" s="10"/>
      <x:c r="T41" s="10"/>
      <x:c r="U41" s="53"/>
      <x:c r="V41" s="10"/>
      <x:c r="W41" s="10"/>
      <x:c r="X41" s="10"/>
      <x:c r="Y41" s="10"/>
      <x:c r="Z41" s="13" t="str">
        <x:f>IF(INDEX('特性清单'!$B$7:$B$18,MATCH(C41,'特性清单'!$A$7:$A$18,0))="","",IF(INDEX('特性清单'!$H$7:$H$18,MATCH(C41,'特性清单'!$A$7:$A$18,0))="","",INDEX('特性清单'!$H$7:$H$18,MATCH(C41,'特性清单'!$A$7:$A$18,0))))</x:f>
      </x:c>
      <x:c r="AA41" s="50" t="str">
        <x:f>IF(AND(COUNT(H41:J41)=3,I41&gt;=H41,J41&gt;=0),ROUND((I41-H41)*1440-J41,2),"")</x:f>
      </x:c>
      <x:c r="AB41" s="51" t="str">
        <x:f>IF(AND(ISNUMBER(P41),ISNUMBER(Z41),Z41&gt;0,P41&gt;=0,P41&lt;=Z41),P41/Z41,"")</x:f>
      </x:c>
      <x:c r="AC41" s="51" t="str">
        <x:f>IF(AND(ISNUMBER(Q41),ISNUMBER(Z41),Z41&gt;0,Q41&gt;=0,Q41&lt;=Z41),Q41/Z41,"")</x:f>
      </x:c>
      <x:c r="AD41" s="13" t="str">
        <x:f>IF(AE41&lt;&gt;"纳入","",IF(AND(O41="完成",AC41=1,R41=0,S41="通过",T41="通过",AA41&lt;=AH41),1,0))</x:f>
      </x:c>
      <x:c r="AE41" s="13" t="str">
        <x:f>IF(O41="","待运行",IF(O41="进行中","进行中",IF(NOT(OR(O41="完成",O41="超时",O41="工具故障",O41="主动终止")),"需核对终态",IF(OR('试点设置'!$C$15&lt;&gt;"齐备",INDEX('特性清单'!$P$7:$P$18,MATCH(C41,'特性清单'!$A$7:$A$18,0))&lt;&gt;"齐备",D41&gt;INDEX('特性清单'!$K$7:$K$18,MATCH(C41,'特性清单'!$A$7:$A$18,0))),"待补齐试验设置",IF(NOT(AND(F41&lt;&gt;"",COUNT(G41:N41)=8,COUNT(P41:R41)=3,S41&lt;&gt;"",T41&lt;&gt;"",V41&lt;&gt;"",X41&lt;&gt;"",Y41&lt;&gt;"",AI41&lt;&gt;"")),"待补齐记录",IF(NOT(AND(G41&gt;=1,G41&lt;=4,MOD(G41,1)=0,I41&gt;=H41,MIN(J41:N41)&gt;=0,MOD(M41,1)=0,MOD(N41,1)=0,AA41&gt;=0,K41&lt;=AA41,L41&lt;=K41,MIN(P41:R41)&gt;=0,MOD(P41,1)=0,MOD(Q41,1)=0,MOD(R41,1)=0,P41&lt;=Z41,Q41&lt;=Z41,OR(S41="通过",S41="失败",S41="未完成"),OR(T41="通过",T41="失败",T41="未完成"),OR(AI41="新手",AI41="偶尔使用",AI41="经常使用"),COUNTIFS($A$7:$A$150,A41)=1)),"需核对数值或ID",IF(OR(AND(O41&lt;&gt;"完成",W41=""),AND(J41&gt;0,W41=""),AND(V41&lt;&gt;"一致",W41="")),"待说明原因",IF(V41&lt;&gt;"一致","条件偏差","纳入"))))))))</x:f>
        <x:v>待运行</x:v>
      </x:c>
      <x:c r="AF41" s="13" t="n">
        <x:f>IF(AE41&lt;&gt;"纳入",0,INDEX('配对比较'!$J$7:$J$42,MATCH(B41,'配对比较'!$A$7:$A$42,0)))</x:f>
        <x:v>0</x:v>
      </x:c>
      <x:c r="AG41" s="13" t="n">
        <x:f>IF(AE41&lt;&gt;"纳入",0,INDEX('配对比较'!$L$7:$L$42,MATCH(B41,'配对比较'!$A$7:$A$42,0)))</x:f>
        <x:v>0</x:v>
      </x:c>
      <x:c r="AH41" s="13" t="str">
        <x:f>IF(INDEX('特性清单'!$B$7:$B$18,MATCH(C41,'特性清单'!$A$7:$A$18,0))="","",IF(INDEX('特性清单'!$J$7:$J$18,MATCH(C41,'特性清单'!$A$7:$A$18,0))="","",INDEX('特性清单'!$J$7:$J$18,MATCH(C41,'特性清单'!$A$7:$A$18,0))))</x:f>
      </x:c>
      <x:c r="AI41" s="10"/>
      <x:c r="AJ41" s="13" t="n">
        <x:f>IF(AND(ISNUMBER(U41),U41&gt;=0),1,0)</x:f>
        <x:v>0</x:v>
      </x:c>
      <x:c r="AK41" s="13" t="str">
        <x:f>IF(AE41&lt;&gt;"纳入","",IF(OR(O41="超时",AA41&gt;AH41),1,0))</x:f>
      </x:c>
    </x:row>
    <x:row r="42" ht="25" customHeight="1">
      <x:c r="A42" s="13" t="str">
        <x:v>F03-R3-CA</x:v>
      </x:c>
      <x:c r="B42" s="13" t="str">
        <x:v>F03-R3</x:v>
      </x:c>
      <x:c r="C42" s="13" t="str">
        <x:v>F03</x:v>
      </x:c>
      <x:c r="D42" s="58" t="n">
        <x:v>3</x:v>
      </x:c>
      <x:c r="E42" s="13" t="str">
        <x:v>CodeArts</x:v>
      </x:c>
      <x:c r="F42" s="10"/>
      <x:c r="G42" s="56"/>
      <x:c r="H42" s="45"/>
      <x:c r="I42" s="45"/>
      <x:c r="J42" s="48"/>
      <x:c r="K42" s="48"/>
      <x:c r="L42" s="48"/>
      <x:c r="M42" s="56"/>
      <x:c r="N42" s="56"/>
      <x:c r="O42" s="10"/>
      <x:c r="P42" s="56"/>
      <x:c r="Q42" s="56"/>
      <x:c r="R42" s="56"/>
      <x:c r="S42" s="10"/>
      <x:c r="T42" s="10"/>
      <x:c r="U42" s="53"/>
      <x:c r="V42" s="10"/>
      <x:c r="W42" s="10"/>
      <x:c r="X42" s="10"/>
      <x:c r="Y42" s="10"/>
      <x:c r="Z42" s="13" t="str">
        <x:f>IF(INDEX('特性清单'!$B$7:$B$18,MATCH(C42,'特性清单'!$A$7:$A$18,0))="","",IF(INDEX('特性清单'!$H$7:$H$18,MATCH(C42,'特性清单'!$A$7:$A$18,0))="","",INDEX('特性清单'!$H$7:$H$18,MATCH(C42,'特性清单'!$A$7:$A$18,0))))</x:f>
      </x:c>
      <x:c r="AA42" s="50" t="str">
        <x:f>IF(AND(COUNT(H42:J42)=3,I42&gt;=H42,J42&gt;=0),ROUND((I42-H42)*1440-J42,2),"")</x:f>
      </x:c>
      <x:c r="AB42" s="51" t="str">
        <x:f>IF(AND(ISNUMBER(P42),ISNUMBER(Z42),Z42&gt;0,P42&gt;=0,P42&lt;=Z42),P42/Z42,"")</x:f>
      </x:c>
      <x:c r="AC42" s="51" t="str">
        <x:f>IF(AND(ISNUMBER(Q42),ISNUMBER(Z42),Z42&gt;0,Q42&gt;=0,Q42&lt;=Z42),Q42/Z42,"")</x:f>
      </x:c>
      <x:c r="AD42" s="13" t="str">
        <x:f>IF(AE42&lt;&gt;"纳入","",IF(AND(O42="完成",AC42=1,R42=0,S42="通过",T42="通过",AA42&lt;=AH42),1,0))</x:f>
      </x:c>
      <x:c r="AE42" s="13" t="str">
        <x:f>IF(O42="","待运行",IF(O42="进行中","进行中",IF(NOT(OR(O42="完成",O42="超时",O42="工具故障",O42="主动终止")),"需核对终态",IF(OR('试点设置'!$C$15&lt;&gt;"齐备",INDEX('特性清单'!$P$7:$P$18,MATCH(C42,'特性清单'!$A$7:$A$18,0))&lt;&gt;"齐备",D42&gt;INDEX('特性清单'!$K$7:$K$18,MATCH(C42,'特性清单'!$A$7:$A$18,0))),"待补齐试验设置",IF(NOT(AND(F42&lt;&gt;"",COUNT(G42:N42)=8,COUNT(P42:R42)=3,S42&lt;&gt;"",T42&lt;&gt;"",V42&lt;&gt;"",X42&lt;&gt;"",Y42&lt;&gt;"",AI42&lt;&gt;"")),"待补齐记录",IF(NOT(AND(G42&gt;=1,G42&lt;=4,MOD(G42,1)=0,I42&gt;=H42,MIN(J42:N42)&gt;=0,MOD(M42,1)=0,MOD(N42,1)=0,AA42&gt;=0,K42&lt;=AA42,L42&lt;=K42,MIN(P42:R42)&gt;=0,MOD(P42,1)=0,MOD(Q42,1)=0,MOD(R42,1)=0,P42&lt;=Z42,Q42&lt;=Z42,OR(S42="通过",S42="失败",S42="未完成"),OR(T42="通过",T42="失败",T42="未完成"),OR(AI42="新手",AI42="偶尔使用",AI42="经常使用"),COUNTIFS($A$7:$A$150,A42)=1)),"需核对数值或ID",IF(OR(AND(O42&lt;&gt;"完成",W42=""),AND(J42&gt;0,W42=""),AND(V42&lt;&gt;"一致",W42="")),"待说明原因",IF(V42&lt;&gt;"一致","条件偏差","纳入"))))))))</x:f>
        <x:v>待运行</x:v>
      </x:c>
      <x:c r="AF42" s="13" t="n">
        <x:f>IF(AE42&lt;&gt;"纳入",0,INDEX('配对比较'!$J$7:$J$42,MATCH(B42,'配对比较'!$A$7:$A$42,0)))</x:f>
        <x:v>0</x:v>
      </x:c>
      <x:c r="AG42" s="13" t="n">
        <x:f>IF(AE42&lt;&gt;"纳入",0,INDEX('配对比较'!$L$7:$L$42,MATCH(B42,'配对比较'!$A$7:$A$42,0)))</x:f>
        <x:v>0</x:v>
      </x:c>
      <x:c r="AH42" s="13" t="str">
        <x:f>IF(INDEX('特性清单'!$B$7:$B$18,MATCH(C42,'特性清单'!$A$7:$A$18,0))="","",IF(INDEX('特性清单'!$J$7:$J$18,MATCH(C42,'特性清单'!$A$7:$A$18,0))="","",INDEX('特性清单'!$J$7:$J$18,MATCH(C42,'特性清单'!$A$7:$A$18,0))))</x:f>
      </x:c>
      <x:c r="AI42" s="10"/>
      <x:c r="AJ42" s="13" t="n">
        <x:f>IF(AND(ISNUMBER(U42),U42&gt;=0),1,0)</x:f>
        <x:v>0</x:v>
      </x:c>
      <x:c r="AK42" s="13" t="str">
        <x:f>IF(AE42&lt;&gt;"纳入","",IF(OR(O42="超时",AA42&gt;AH42),1,0))</x:f>
      </x:c>
    </x:row>
    <x:row r="43" ht="25" customHeight="1">
      <x:c r="A43" s="13" t="str">
        <x:v>F04-R1-CC</x:v>
      </x:c>
      <x:c r="B43" s="13" t="str">
        <x:v>F04-R1</x:v>
      </x:c>
      <x:c r="C43" s="13" t="str">
        <x:v>F04</x:v>
      </x:c>
      <x:c r="D43" s="58" t="n">
        <x:v>1</x:v>
      </x:c>
      <x:c r="E43" s="13" t="str">
        <x:v>Claude Code</x:v>
      </x:c>
      <x:c r="F43" s="10"/>
      <x:c r="G43" s="56"/>
      <x:c r="H43" s="45"/>
      <x:c r="I43" s="45"/>
      <x:c r="J43" s="48"/>
      <x:c r="K43" s="48"/>
      <x:c r="L43" s="48"/>
      <x:c r="M43" s="56"/>
      <x:c r="N43" s="56"/>
      <x:c r="O43" s="10"/>
      <x:c r="P43" s="56"/>
      <x:c r="Q43" s="56"/>
      <x:c r="R43" s="56"/>
      <x:c r="S43" s="10"/>
      <x:c r="T43" s="10"/>
      <x:c r="U43" s="53"/>
      <x:c r="V43" s="10"/>
      <x:c r="W43" s="10"/>
      <x:c r="X43" s="10"/>
      <x:c r="Y43" s="10"/>
      <x:c r="Z43" s="13" t="str">
        <x:f>IF(INDEX('特性清单'!$B$7:$B$18,MATCH(C43,'特性清单'!$A$7:$A$18,0))="","",IF(INDEX('特性清单'!$H$7:$H$18,MATCH(C43,'特性清单'!$A$7:$A$18,0))="","",INDEX('特性清单'!$H$7:$H$18,MATCH(C43,'特性清单'!$A$7:$A$18,0))))</x:f>
      </x:c>
      <x:c r="AA43" s="50" t="str">
        <x:f>IF(AND(COUNT(H43:J43)=3,I43&gt;=H43,J43&gt;=0),ROUND((I43-H43)*1440-J43,2),"")</x:f>
      </x:c>
      <x:c r="AB43" s="51" t="str">
        <x:f>IF(AND(ISNUMBER(P43),ISNUMBER(Z43),Z43&gt;0,P43&gt;=0,P43&lt;=Z43),P43/Z43,"")</x:f>
      </x:c>
      <x:c r="AC43" s="51" t="str">
        <x:f>IF(AND(ISNUMBER(Q43),ISNUMBER(Z43),Z43&gt;0,Q43&gt;=0,Q43&lt;=Z43),Q43/Z43,"")</x:f>
      </x:c>
      <x:c r="AD43" s="13" t="str">
        <x:f>IF(AE43&lt;&gt;"纳入","",IF(AND(O43="完成",AC43=1,R43=0,S43="通过",T43="通过",AA43&lt;=AH43),1,0))</x:f>
      </x:c>
      <x:c r="AE43" s="13" t="str">
        <x:f>IF(O43="","待运行",IF(O43="进行中","进行中",IF(NOT(OR(O43="完成",O43="超时",O43="工具故障",O43="主动终止")),"需核对终态",IF(OR('试点设置'!$C$15&lt;&gt;"齐备",INDEX('特性清单'!$P$7:$P$18,MATCH(C43,'特性清单'!$A$7:$A$18,0))&lt;&gt;"齐备",D43&gt;INDEX('特性清单'!$K$7:$K$18,MATCH(C43,'特性清单'!$A$7:$A$18,0))),"待补齐试验设置",IF(NOT(AND(F43&lt;&gt;"",COUNT(G43:N43)=8,COUNT(P43:R43)=3,S43&lt;&gt;"",T43&lt;&gt;"",V43&lt;&gt;"",X43&lt;&gt;"",Y43&lt;&gt;"",AI43&lt;&gt;"")),"待补齐记录",IF(NOT(AND(G43&gt;=1,G43&lt;=4,MOD(G43,1)=0,I43&gt;=H43,MIN(J43:N43)&gt;=0,MOD(M43,1)=0,MOD(N43,1)=0,AA43&gt;=0,K43&lt;=AA43,L43&lt;=K43,MIN(P43:R43)&gt;=0,MOD(P43,1)=0,MOD(Q43,1)=0,MOD(R43,1)=0,P43&lt;=Z43,Q43&lt;=Z43,OR(S43="通过",S43="失败",S43="未完成"),OR(T43="通过",T43="失败",T43="未完成"),OR(AI43="新手",AI43="偶尔使用",AI43="经常使用"),COUNTIFS($A$7:$A$150,A43)=1)),"需核对数值或ID",IF(OR(AND(O43&lt;&gt;"完成",W43=""),AND(J43&gt;0,W43=""),AND(V43&lt;&gt;"一致",W43="")),"待说明原因",IF(V43&lt;&gt;"一致","条件偏差","纳入"))))))))</x:f>
        <x:v>待运行</x:v>
      </x:c>
      <x:c r="AF43" s="13" t="n">
        <x:f>IF(AE43&lt;&gt;"纳入",0,INDEX('配对比较'!$J$7:$J$42,MATCH(B43,'配对比较'!$A$7:$A$42,0)))</x:f>
        <x:v>0</x:v>
      </x:c>
      <x:c r="AG43" s="13" t="n">
        <x:f>IF(AE43&lt;&gt;"纳入",0,INDEX('配对比较'!$L$7:$L$42,MATCH(B43,'配对比较'!$A$7:$A$42,0)))</x:f>
        <x:v>0</x:v>
      </x:c>
      <x:c r="AH43" s="13" t="str">
        <x:f>IF(INDEX('特性清单'!$B$7:$B$18,MATCH(C43,'特性清单'!$A$7:$A$18,0))="","",IF(INDEX('特性清单'!$J$7:$J$18,MATCH(C43,'特性清单'!$A$7:$A$18,0))="","",INDEX('特性清单'!$J$7:$J$18,MATCH(C43,'特性清单'!$A$7:$A$18,0))))</x:f>
      </x:c>
      <x:c r="AI43" s="10"/>
      <x:c r="AJ43" s="13" t="n">
        <x:f>IF(AND(ISNUMBER(U43),U43&gt;=0),1,0)</x:f>
        <x:v>0</x:v>
      </x:c>
      <x:c r="AK43" s="13" t="str">
        <x:f>IF(AE43&lt;&gt;"纳入","",IF(OR(O43="超时",AA43&gt;AH43),1,0))</x:f>
      </x:c>
    </x:row>
    <x:row r="44" ht="25" customHeight="1">
      <x:c r="A44" s="13" t="str">
        <x:v>F04-R1-CX</x:v>
      </x:c>
      <x:c r="B44" s="13" t="str">
        <x:v>F04-R1</x:v>
      </x:c>
      <x:c r="C44" s="13" t="str">
        <x:v>F04</x:v>
      </x:c>
      <x:c r="D44" s="58" t="n">
        <x:v>1</x:v>
      </x:c>
      <x:c r="E44" s="13" t="str">
        <x:v>Codex</x:v>
      </x:c>
      <x:c r="F44" s="10"/>
      <x:c r="G44" s="56"/>
      <x:c r="H44" s="45"/>
      <x:c r="I44" s="45"/>
      <x:c r="J44" s="48"/>
      <x:c r="K44" s="48"/>
      <x:c r="L44" s="48"/>
      <x:c r="M44" s="56"/>
      <x:c r="N44" s="56"/>
      <x:c r="O44" s="10"/>
      <x:c r="P44" s="56"/>
      <x:c r="Q44" s="56"/>
      <x:c r="R44" s="56"/>
      <x:c r="S44" s="10"/>
      <x:c r="T44" s="10"/>
      <x:c r="U44" s="53"/>
      <x:c r="V44" s="10"/>
      <x:c r="W44" s="10"/>
      <x:c r="X44" s="10"/>
      <x:c r="Y44" s="10"/>
      <x:c r="Z44" s="13" t="str">
        <x:f>IF(INDEX('特性清单'!$B$7:$B$18,MATCH(C44,'特性清单'!$A$7:$A$18,0))="","",IF(INDEX('特性清单'!$H$7:$H$18,MATCH(C44,'特性清单'!$A$7:$A$18,0))="","",INDEX('特性清单'!$H$7:$H$18,MATCH(C44,'特性清单'!$A$7:$A$18,0))))</x:f>
      </x:c>
      <x:c r="AA44" s="50" t="str">
        <x:f>IF(AND(COUNT(H44:J44)=3,I44&gt;=H44,J44&gt;=0),ROUND((I44-H44)*1440-J44,2),"")</x:f>
      </x:c>
      <x:c r="AB44" s="51" t="str">
        <x:f>IF(AND(ISNUMBER(P44),ISNUMBER(Z44),Z44&gt;0,P44&gt;=0,P44&lt;=Z44),P44/Z44,"")</x:f>
      </x:c>
      <x:c r="AC44" s="51" t="str">
        <x:f>IF(AND(ISNUMBER(Q44),ISNUMBER(Z44),Z44&gt;0,Q44&gt;=0,Q44&lt;=Z44),Q44/Z44,"")</x:f>
      </x:c>
      <x:c r="AD44" s="13" t="str">
        <x:f>IF(AE44&lt;&gt;"纳入","",IF(AND(O44="完成",AC44=1,R44=0,S44="通过",T44="通过",AA44&lt;=AH44),1,0))</x:f>
      </x:c>
      <x:c r="AE44" s="13" t="str">
        <x:f>IF(O44="","待运行",IF(O44="进行中","进行中",IF(NOT(OR(O44="完成",O44="超时",O44="工具故障",O44="主动终止")),"需核对终态",IF(OR('试点设置'!$C$15&lt;&gt;"齐备",INDEX('特性清单'!$P$7:$P$18,MATCH(C44,'特性清单'!$A$7:$A$18,0))&lt;&gt;"齐备",D44&gt;INDEX('特性清单'!$K$7:$K$18,MATCH(C44,'特性清单'!$A$7:$A$18,0))),"待补齐试验设置",IF(NOT(AND(F44&lt;&gt;"",COUNT(G44:N44)=8,COUNT(P44:R44)=3,S44&lt;&gt;"",T44&lt;&gt;"",V44&lt;&gt;"",X44&lt;&gt;"",Y44&lt;&gt;"",AI44&lt;&gt;"")),"待补齐记录",IF(NOT(AND(G44&gt;=1,G44&lt;=4,MOD(G44,1)=0,I44&gt;=H44,MIN(J44:N44)&gt;=0,MOD(M44,1)=0,MOD(N44,1)=0,AA44&gt;=0,K44&lt;=AA44,L44&lt;=K44,MIN(P44:R44)&gt;=0,MOD(P44,1)=0,MOD(Q44,1)=0,MOD(R44,1)=0,P44&lt;=Z44,Q44&lt;=Z44,OR(S44="通过",S44="失败",S44="未完成"),OR(T44="通过",T44="失败",T44="未完成"),OR(AI44="新手",AI44="偶尔使用",AI44="经常使用"),COUNTIFS($A$7:$A$150,A44)=1)),"需核对数值或ID",IF(OR(AND(O44&lt;&gt;"完成",W44=""),AND(J44&gt;0,W44=""),AND(V44&lt;&gt;"一致",W44="")),"待说明原因",IF(V44&lt;&gt;"一致","条件偏差","纳入"))))))))</x:f>
        <x:v>待运行</x:v>
      </x:c>
      <x:c r="AF44" s="13" t="n">
        <x:f>IF(AE44&lt;&gt;"纳入",0,INDEX('配对比较'!$J$7:$J$42,MATCH(B44,'配对比较'!$A$7:$A$42,0)))</x:f>
        <x:v>0</x:v>
      </x:c>
      <x:c r="AG44" s="13" t="n">
        <x:f>IF(AE44&lt;&gt;"纳入",0,INDEX('配对比较'!$L$7:$L$42,MATCH(B44,'配对比较'!$A$7:$A$42,0)))</x:f>
        <x:v>0</x:v>
      </x:c>
      <x:c r="AH44" s="13" t="str">
        <x:f>IF(INDEX('特性清单'!$B$7:$B$18,MATCH(C44,'特性清单'!$A$7:$A$18,0))="","",IF(INDEX('特性清单'!$J$7:$J$18,MATCH(C44,'特性清单'!$A$7:$A$18,0))="","",INDEX('特性清单'!$J$7:$J$18,MATCH(C44,'特性清单'!$A$7:$A$18,0))))</x:f>
      </x:c>
      <x:c r="AI44" s="10"/>
      <x:c r="AJ44" s="13" t="n">
        <x:f>IF(AND(ISNUMBER(U44),U44&gt;=0),1,0)</x:f>
        <x:v>0</x:v>
      </x:c>
      <x:c r="AK44" s="13" t="str">
        <x:f>IF(AE44&lt;&gt;"纳入","",IF(OR(O44="超时",AA44&gt;AH44),1,0))</x:f>
      </x:c>
    </x:row>
    <x:row r="45" ht="25" customHeight="1">
      <x:c r="A45" s="13" t="str">
        <x:v>F04-R1-TR</x:v>
      </x:c>
      <x:c r="B45" s="13" t="str">
        <x:v>F04-R1</x:v>
      </x:c>
      <x:c r="C45" s="13" t="str">
        <x:v>F04</x:v>
      </x:c>
      <x:c r="D45" s="58" t="n">
        <x:v>1</x:v>
      </x:c>
      <x:c r="E45" s="13" t="str">
        <x:v>Trae</x:v>
      </x:c>
      <x:c r="F45" s="10"/>
      <x:c r="G45" s="56"/>
      <x:c r="H45" s="45"/>
      <x:c r="I45" s="45"/>
      <x:c r="J45" s="48"/>
      <x:c r="K45" s="48"/>
      <x:c r="L45" s="48"/>
      <x:c r="M45" s="56"/>
      <x:c r="N45" s="56"/>
      <x:c r="O45" s="10"/>
      <x:c r="P45" s="56"/>
      <x:c r="Q45" s="56"/>
      <x:c r="R45" s="56"/>
      <x:c r="S45" s="10"/>
      <x:c r="T45" s="10"/>
      <x:c r="U45" s="53"/>
      <x:c r="V45" s="10"/>
      <x:c r="W45" s="10"/>
      <x:c r="X45" s="10"/>
      <x:c r="Y45" s="10"/>
      <x:c r="Z45" s="13" t="str">
        <x:f>IF(INDEX('特性清单'!$B$7:$B$18,MATCH(C45,'特性清单'!$A$7:$A$18,0))="","",IF(INDEX('特性清单'!$H$7:$H$18,MATCH(C45,'特性清单'!$A$7:$A$18,0))="","",INDEX('特性清单'!$H$7:$H$18,MATCH(C45,'特性清单'!$A$7:$A$18,0))))</x:f>
      </x:c>
      <x:c r="AA45" s="50" t="str">
        <x:f>IF(AND(COUNT(H45:J45)=3,I45&gt;=H45,J45&gt;=0),ROUND((I45-H45)*1440-J45,2),"")</x:f>
      </x:c>
      <x:c r="AB45" s="51" t="str">
        <x:f>IF(AND(ISNUMBER(P45),ISNUMBER(Z45),Z45&gt;0,P45&gt;=0,P45&lt;=Z45),P45/Z45,"")</x:f>
      </x:c>
      <x:c r="AC45" s="51" t="str">
        <x:f>IF(AND(ISNUMBER(Q45),ISNUMBER(Z45),Z45&gt;0,Q45&gt;=0,Q45&lt;=Z45),Q45/Z45,"")</x:f>
      </x:c>
      <x:c r="AD45" s="13" t="str">
        <x:f>IF(AE45&lt;&gt;"纳入","",IF(AND(O45="完成",AC45=1,R45=0,S45="通过",T45="通过",AA45&lt;=AH45),1,0))</x:f>
      </x:c>
      <x:c r="AE45" s="13" t="str">
        <x:f>IF(O45="","待运行",IF(O45="进行中","进行中",IF(NOT(OR(O45="完成",O45="超时",O45="工具故障",O45="主动终止")),"需核对终态",IF(OR('试点设置'!$C$15&lt;&gt;"齐备",INDEX('特性清单'!$P$7:$P$18,MATCH(C45,'特性清单'!$A$7:$A$18,0))&lt;&gt;"齐备",D45&gt;INDEX('特性清单'!$K$7:$K$18,MATCH(C45,'特性清单'!$A$7:$A$18,0))),"待补齐试验设置",IF(NOT(AND(F45&lt;&gt;"",COUNT(G45:N45)=8,COUNT(P45:R45)=3,S45&lt;&gt;"",T45&lt;&gt;"",V45&lt;&gt;"",X45&lt;&gt;"",Y45&lt;&gt;"",AI45&lt;&gt;"")),"待补齐记录",IF(NOT(AND(G45&gt;=1,G45&lt;=4,MOD(G45,1)=0,I45&gt;=H45,MIN(J45:N45)&gt;=0,MOD(M45,1)=0,MOD(N45,1)=0,AA45&gt;=0,K45&lt;=AA45,L45&lt;=K45,MIN(P45:R45)&gt;=0,MOD(P45,1)=0,MOD(Q45,1)=0,MOD(R45,1)=0,P45&lt;=Z45,Q45&lt;=Z45,OR(S45="通过",S45="失败",S45="未完成"),OR(T45="通过",T45="失败",T45="未完成"),OR(AI45="新手",AI45="偶尔使用",AI45="经常使用"),COUNTIFS($A$7:$A$150,A45)=1)),"需核对数值或ID",IF(OR(AND(O45&lt;&gt;"完成",W45=""),AND(J45&gt;0,W45=""),AND(V45&lt;&gt;"一致",W45="")),"待说明原因",IF(V45&lt;&gt;"一致","条件偏差","纳入"))))))))</x:f>
        <x:v>待运行</x:v>
      </x:c>
      <x:c r="AF45" s="13" t="n">
        <x:f>IF(AE45&lt;&gt;"纳入",0,INDEX('配对比较'!$J$7:$J$42,MATCH(B45,'配对比较'!$A$7:$A$42,0)))</x:f>
        <x:v>0</x:v>
      </x:c>
      <x:c r="AG45" s="13" t="n">
        <x:f>IF(AE45&lt;&gt;"纳入",0,INDEX('配对比较'!$L$7:$L$42,MATCH(B45,'配对比较'!$A$7:$A$42,0)))</x:f>
        <x:v>0</x:v>
      </x:c>
      <x:c r="AH45" s="13" t="str">
        <x:f>IF(INDEX('特性清单'!$B$7:$B$18,MATCH(C45,'特性清单'!$A$7:$A$18,0))="","",IF(INDEX('特性清单'!$J$7:$J$18,MATCH(C45,'特性清单'!$A$7:$A$18,0))="","",INDEX('特性清单'!$J$7:$J$18,MATCH(C45,'特性清单'!$A$7:$A$18,0))))</x:f>
      </x:c>
      <x:c r="AI45" s="10"/>
      <x:c r="AJ45" s="13" t="n">
        <x:f>IF(AND(ISNUMBER(U45),U45&gt;=0),1,0)</x:f>
        <x:v>0</x:v>
      </x:c>
      <x:c r="AK45" s="13" t="str">
        <x:f>IF(AE45&lt;&gt;"纳入","",IF(OR(O45="超时",AA45&gt;AH45),1,0))</x:f>
      </x:c>
    </x:row>
    <x:row r="46" ht="25" customHeight="1">
      <x:c r="A46" s="13" t="str">
        <x:v>F04-R1-CA</x:v>
      </x:c>
      <x:c r="B46" s="13" t="str">
        <x:v>F04-R1</x:v>
      </x:c>
      <x:c r="C46" s="13" t="str">
        <x:v>F04</x:v>
      </x:c>
      <x:c r="D46" s="58" t="n">
        <x:v>1</x:v>
      </x:c>
      <x:c r="E46" s="13" t="str">
        <x:v>CodeArts</x:v>
      </x:c>
      <x:c r="F46" s="10"/>
      <x:c r="G46" s="56"/>
      <x:c r="H46" s="45"/>
      <x:c r="I46" s="45"/>
      <x:c r="J46" s="48"/>
      <x:c r="K46" s="48"/>
      <x:c r="L46" s="48"/>
      <x:c r="M46" s="56"/>
      <x:c r="N46" s="56"/>
      <x:c r="O46" s="10"/>
      <x:c r="P46" s="56"/>
      <x:c r="Q46" s="56"/>
      <x:c r="R46" s="56"/>
      <x:c r="S46" s="10"/>
      <x:c r="T46" s="10"/>
      <x:c r="U46" s="53"/>
      <x:c r="V46" s="10"/>
      <x:c r="W46" s="10"/>
      <x:c r="X46" s="10"/>
      <x:c r="Y46" s="10"/>
      <x:c r="Z46" s="13" t="str">
        <x:f>IF(INDEX('特性清单'!$B$7:$B$18,MATCH(C46,'特性清单'!$A$7:$A$18,0))="","",IF(INDEX('特性清单'!$H$7:$H$18,MATCH(C46,'特性清单'!$A$7:$A$18,0))="","",INDEX('特性清单'!$H$7:$H$18,MATCH(C46,'特性清单'!$A$7:$A$18,0))))</x:f>
      </x:c>
      <x:c r="AA46" s="50" t="str">
        <x:f>IF(AND(COUNT(H46:J46)=3,I46&gt;=H46,J46&gt;=0),ROUND((I46-H46)*1440-J46,2),"")</x:f>
      </x:c>
      <x:c r="AB46" s="51" t="str">
        <x:f>IF(AND(ISNUMBER(P46),ISNUMBER(Z46),Z46&gt;0,P46&gt;=0,P46&lt;=Z46),P46/Z46,"")</x:f>
      </x:c>
      <x:c r="AC46" s="51" t="str">
        <x:f>IF(AND(ISNUMBER(Q46),ISNUMBER(Z46),Z46&gt;0,Q46&gt;=0,Q46&lt;=Z46),Q46/Z46,"")</x:f>
      </x:c>
      <x:c r="AD46" s="13" t="str">
        <x:f>IF(AE46&lt;&gt;"纳入","",IF(AND(O46="完成",AC46=1,R46=0,S46="通过",T46="通过",AA46&lt;=AH46),1,0))</x:f>
      </x:c>
      <x:c r="AE46" s="13" t="str">
        <x:f>IF(O46="","待运行",IF(O46="进行中","进行中",IF(NOT(OR(O46="完成",O46="超时",O46="工具故障",O46="主动终止")),"需核对终态",IF(OR('试点设置'!$C$15&lt;&gt;"齐备",INDEX('特性清单'!$P$7:$P$18,MATCH(C46,'特性清单'!$A$7:$A$18,0))&lt;&gt;"齐备",D46&gt;INDEX('特性清单'!$K$7:$K$18,MATCH(C46,'特性清单'!$A$7:$A$18,0))),"待补齐试验设置",IF(NOT(AND(F46&lt;&gt;"",COUNT(G46:N46)=8,COUNT(P46:R46)=3,S46&lt;&gt;"",T46&lt;&gt;"",V46&lt;&gt;"",X46&lt;&gt;"",Y46&lt;&gt;"",AI46&lt;&gt;"")),"待补齐记录",IF(NOT(AND(G46&gt;=1,G46&lt;=4,MOD(G46,1)=0,I46&gt;=H46,MIN(J46:N46)&gt;=0,MOD(M46,1)=0,MOD(N46,1)=0,AA46&gt;=0,K46&lt;=AA46,L46&lt;=K46,MIN(P46:R46)&gt;=0,MOD(P46,1)=0,MOD(Q46,1)=0,MOD(R46,1)=0,P46&lt;=Z46,Q46&lt;=Z46,OR(S46="通过",S46="失败",S46="未完成"),OR(T46="通过",T46="失败",T46="未完成"),OR(AI46="新手",AI46="偶尔使用",AI46="经常使用"),COUNTIFS($A$7:$A$150,A46)=1)),"需核对数值或ID",IF(OR(AND(O46&lt;&gt;"完成",W46=""),AND(J46&gt;0,W46=""),AND(V46&lt;&gt;"一致",W46="")),"待说明原因",IF(V46&lt;&gt;"一致","条件偏差","纳入"))))))))</x:f>
        <x:v>待运行</x:v>
      </x:c>
      <x:c r="AF46" s="13" t="n">
        <x:f>IF(AE46&lt;&gt;"纳入",0,INDEX('配对比较'!$J$7:$J$42,MATCH(B46,'配对比较'!$A$7:$A$42,0)))</x:f>
        <x:v>0</x:v>
      </x:c>
      <x:c r="AG46" s="13" t="n">
        <x:f>IF(AE46&lt;&gt;"纳入",0,INDEX('配对比较'!$L$7:$L$42,MATCH(B46,'配对比较'!$A$7:$A$42,0)))</x:f>
        <x:v>0</x:v>
      </x:c>
      <x:c r="AH46" s="13" t="str">
        <x:f>IF(INDEX('特性清单'!$B$7:$B$18,MATCH(C46,'特性清单'!$A$7:$A$18,0))="","",IF(INDEX('特性清单'!$J$7:$J$18,MATCH(C46,'特性清单'!$A$7:$A$18,0))="","",INDEX('特性清单'!$J$7:$J$18,MATCH(C46,'特性清单'!$A$7:$A$18,0))))</x:f>
      </x:c>
      <x:c r="AI46" s="10"/>
      <x:c r="AJ46" s="13" t="n">
        <x:f>IF(AND(ISNUMBER(U46),U46&gt;=0),1,0)</x:f>
        <x:v>0</x:v>
      </x:c>
      <x:c r="AK46" s="13" t="str">
        <x:f>IF(AE46&lt;&gt;"纳入","",IF(OR(O46="超时",AA46&gt;AH46),1,0))</x:f>
      </x:c>
    </x:row>
    <x:row r="47" ht="25" customHeight="1">
      <x:c r="A47" s="13" t="str">
        <x:v>F04-R2-CC</x:v>
      </x:c>
      <x:c r="B47" s="13" t="str">
        <x:v>F04-R2</x:v>
      </x:c>
      <x:c r="C47" s="13" t="str">
        <x:v>F04</x:v>
      </x:c>
      <x:c r="D47" s="58" t="n">
        <x:v>2</x:v>
      </x:c>
      <x:c r="E47" s="13" t="str">
        <x:v>Claude Code</x:v>
      </x:c>
      <x:c r="F47" s="10"/>
      <x:c r="G47" s="56"/>
      <x:c r="H47" s="45"/>
      <x:c r="I47" s="45"/>
      <x:c r="J47" s="48"/>
      <x:c r="K47" s="48"/>
      <x:c r="L47" s="48"/>
      <x:c r="M47" s="56"/>
      <x:c r="N47" s="56"/>
      <x:c r="O47" s="10"/>
      <x:c r="P47" s="56"/>
      <x:c r="Q47" s="56"/>
      <x:c r="R47" s="56"/>
      <x:c r="S47" s="10"/>
      <x:c r="T47" s="10"/>
      <x:c r="U47" s="53"/>
      <x:c r="V47" s="10"/>
      <x:c r="W47" s="10"/>
      <x:c r="X47" s="10"/>
      <x:c r="Y47" s="10"/>
      <x:c r="Z47" s="13" t="str">
        <x:f>IF(INDEX('特性清单'!$B$7:$B$18,MATCH(C47,'特性清单'!$A$7:$A$18,0))="","",IF(INDEX('特性清单'!$H$7:$H$18,MATCH(C47,'特性清单'!$A$7:$A$18,0))="","",INDEX('特性清单'!$H$7:$H$18,MATCH(C47,'特性清单'!$A$7:$A$18,0))))</x:f>
      </x:c>
      <x:c r="AA47" s="50" t="str">
        <x:f>IF(AND(COUNT(H47:J47)=3,I47&gt;=H47,J47&gt;=0),ROUND((I47-H47)*1440-J47,2),"")</x:f>
      </x:c>
      <x:c r="AB47" s="51" t="str">
        <x:f>IF(AND(ISNUMBER(P47),ISNUMBER(Z47),Z47&gt;0,P47&gt;=0,P47&lt;=Z47),P47/Z47,"")</x:f>
      </x:c>
      <x:c r="AC47" s="51" t="str">
        <x:f>IF(AND(ISNUMBER(Q47),ISNUMBER(Z47),Z47&gt;0,Q47&gt;=0,Q47&lt;=Z47),Q47/Z47,"")</x:f>
      </x:c>
      <x:c r="AD47" s="13" t="str">
        <x:f>IF(AE47&lt;&gt;"纳入","",IF(AND(O47="完成",AC47=1,R47=0,S47="通过",T47="通过",AA47&lt;=AH47),1,0))</x:f>
      </x:c>
      <x:c r="AE47" s="13" t="str">
        <x:f>IF(O47="","待运行",IF(O47="进行中","进行中",IF(NOT(OR(O47="完成",O47="超时",O47="工具故障",O47="主动终止")),"需核对终态",IF(OR('试点设置'!$C$15&lt;&gt;"齐备",INDEX('特性清单'!$P$7:$P$18,MATCH(C47,'特性清单'!$A$7:$A$18,0))&lt;&gt;"齐备",D47&gt;INDEX('特性清单'!$K$7:$K$18,MATCH(C47,'特性清单'!$A$7:$A$18,0))),"待补齐试验设置",IF(NOT(AND(F47&lt;&gt;"",COUNT(G47:N47)=8,COUNT(P47:R47)=3,S47&lt;&gt;"",T47&lt;&gt;"",V47&lt;&gt;"",X47&lt;&gt;"",Y47&lt;&gt;"",AI47&lt;&gt;"")),"待补齐记录",IF(NOT(AND(G47&gt;=1,G47&lt;=4,MOD(G47,1)=0,I47&gt;=H47,MIN(J47:N47)&gt;=0,MOD(M47,1)=0,MOD(N47,1)=0,AA47&gt;=0,K47&lt;=AA47,L47&lt;=K47,MIN(P47:R47)&gt;=0,MOD(P47,1)=0,MOD(Q47,1)=0,MOD(R47,1)=0,P47&lt;=Z47,Q47&lt;=Z47,OR(S47="通过",S47="失败",S47="未完成"),OR(T47="通过",T47="失败",T47="未完成"),OR(AI47="新手",AI47="偶尔使用",AI47="经常使用"),COUNTIFS($A$7:$A$150,A47)=1)),"需核对数值或ID",IF(OR(AND(O47&lt;&gt;"完成",W47=""),AND(J47&gt;0,W47=""),AND(V47&lt;&gt;"一致",W47="")),"待说明原因",IF(V47&lt;&gt;"一致","条件偏差","纳入"))))))))</x:f>
        <x:v>待运行</x:v>
      </x:c>
      <x:c r="AF47" s="13" t="n">
        <x:f>IF(AE47&lt;&gt;"纳入",0,INDEX('配对比较'!$J$7:$J$42,MATCH(B47,'配对比较'!$A$7:$A$42,0)))</x:f>
        <x:v>0</x:v>
      </x:c>
      <x:c r="AG47" s="13" t="n">
        <x:f>IF(AE47&lt;&gt;"纳入",0,INDEX('配对比较'!$L$7:$L$42,MATCH(B47,'配对比较'!$A$7:$A$42,0)))</x:f>
        <x:v>0</x:v>
      </x:c>
      <x:c r="AH47" s="13" t="str">
        <x:f>IF(INDEX('特性清单'!$B$7:$B$18,MATCH(C47,'特性清单'!$A$7:$A$18,0))="","",IF(INDEX('特性清单'!$J$7:$J$18,MATCH(C47,'特性清单'!$A$7:$A$18,0))="","",INDEX('特性清单'!$J$7:$J$18,MATCH(C47,'特性清单'!$A$7:$A$18,0))))</x:f>
      </x:c>
      <x:c r="AI47" s="10"/>
      <x:c r="AJ47" s="13" t="n">
        <x:f>IF(AND(ISNUMBER(U47),U47&gt;=0),1,0)</x:f>
        <x:v>0</x:v>
      </x:c>
      <x:c r="AK47" s="13" t="str">
        <x:f>IF(AE47&lt;&gt;"纳入","",IF(OR(O47="超时",AA47&gt;AH47),1,0))</x:f>
      </x:c>
    </x:row>
    <x:row r="48" ht="25" customHeight="1">
      <x:c r="A48" s="13" t="str">
        <x:v>F04-R2-CX</x:v>
      </x:c>
      <x:c r="B48" s="13" t="str">
        <x:v>F04-R2</x:v>
      </x:c>
      <x:c r="C48" s="13" t="str">
        <x:v>F04</x:v>
      </x:c>
      <x:c r="D48" s="58" t="n">
        <x:v>2</x:v>
      </x:c>
      <x:c r="E48" s="13" t="str">
        <x:v>Codex</x:v>
      </x:c>
      <x:c r="F48" s="10"/>
      <x:c r="G48" s="56"/>
      <x:c r="H48" s="45"/>
      <x:c r="I48" s="45"/>
      <x:c r="J48" s="48"/>
      <x:c r="K48" s="48"/>
      <x:c r="L48" s="48"/>
      <x:c r="M48" s="56"/>
      <x:c r="N48" s="56"/>
      <x:c r="O48" s="10"/>
      <x:c r="P48" s="56"/>
      <x:c r="Q48" s="56"/>
      <x:c r="R48" s="56"/>
      <x:c r="S48" s="10"/>
      <x:c r="T48" s="10"/>
      <x:c r="U48" s="53"/>
      <x:c r="V48" s="10"/>
      <x:c r="W48" s="10"/>
      <x:c r="X48" s="10"/>
      <x:c r="Y48" s="10"/>
      <x:c r="Z48" s="13" t="str">
        <x:f>IF(INDEX('特性清单'!$B$7:$B$18,MATCH(C48,'特性清单'!$A$7:$A$18,0))="","",IF(INDEX('特性清单'!$H$7:$H$18,MATCH(C48,'特性清单'!$A$7:$A$18,0))="","",INDEX('特性清单'!$H$7:$H$18,MATCH(C48,'特性清单'!$A$7:$A$18,0))))</x:f>
      </x:c>
      <x:c r="AA48" s="50" t="str">
        <x:f>IF(AND(COUNT(H48:J48)=3,I48&gt;=H48,J48&gt;=0),ROUND((I48-H48)*1440-J48,2),"")</x:f>
      </x:c>
      <x:c r="AB48" s="51" t="str">
        <x:f>IF(AND(ISNUMBER(P48),ISNUMBER(Z48),Z48&gt;0,P48&gt;=0,P48&lt;=Z48),P48/Z48,"")</x:f>
      </x:c>
      <x:c r="AC48" s="51" t="str">
        <x:f>IF(AND(ISNUMBER(Q48),ISNUMBER(Z48),Z48&gt;0,Q48&gt;=0,Q48&lt;=Z48),Q48/Z48,"")</x:f>
      </x:c>
      <x:c r="AD48" s="13" t="str">
        <x:f>IF(AE48&lt;&gt;"纳入","",IF(AND(O48="完成",AC48=1,R48=0,S48="通过",T48="通过",AA48&lt;=AH48),1,0))</x:f>
      </x:c>
      <x:c r="AE48" s="13" t="str">
        <x:f>IF(O48="","待运行",IF(O48="进行中","进行中",IF(NOT(OR(O48="完成",O48="超时",O48="工具故障",O48="主动终止")),"需核对终态",IF(OR('试点设置'!$C$15&lt;&gt;"齐备",INDEX('特性清单'!$P$7:$P$18,MATCH(C48,'特性清单'!$A$7:$A$18,0))&lt;&gt;"齐备",D48&gt;INDEX('特性清单'!$K$7:$K$18,MATCH(C48,'特性清单'!$A$7:$A$18,0))),"待补齐试验设置",IF(NOT(AND(F48&lt;&gt;"",COUNT(G48:N48)=8,COUNT(P48:R48)=3,S48&lt;&gt;"",T48&lt;&gt;"",V48&lt;&gt;"",X48&lt;&gt;"",Y48&lt;&gt;"",AI48&lt;&gt;"")),"待补齐记录",IF(NOT(AND(G48&gt;=1,G48&lt;=4,MOD(G48,1)=0,I48&gt;=H48,MIN(J48:N48)&gt;=0,MOD(M48,1)=0,MOD(N48,1)=0,AA48&gt;=0,K48&lt;=AA48,L48&lt;=K48,MIN(P48:R48)&gt;=0,MOD(P48,1)=0,MOD(Q48,1)=0,MOD(R48,1)=0,P48&lt;=Z48,Q48&lt;=Z48,OR(S48="通过",S48="失败",S48="未完成"),OR(T48="通过",T48="失败",T48="未完成"),OR(AI48="新手",AI48="偶尔使用",AI48="经常使用"),COUNTIFS($A$7:$A$150,A48)=1)),"需核对数值或ID",IF(OR(AND(O48&lt;&gt;"完成",W48=""),AND(J48&gt;0,W48=""),AND(V48&lt;&gt;"一致",W48="")),"待说明原因",IF(V48&lt;&gt;"一致","条件偏差","纳入"))))))))</x:f>
        <x:v>待运行</x:v>
      </x:c>
      <x:c r="AF48" s="13" t="n">
        <x:f>IF(AE48&lt;&gt;"纳入",0,INDEX('配对比较'!$J$7:$J$42,MATCH(B48,'配对比较'!$A$7:$A$42,0)))</x:f>
        <x:v>0</x:v>
      </x:c>
      <x:c r="AG48" s="13" t="n">
        <x:f>IF(AE48&lt;&gt;"纳入",0,INDEX('配对比较'!$L$7:$L$42,MATCH(B48,'配对比较'!$A$7:$A$42,0)))</x:f>
        <x:v>0</x:v>
      </x:c>
      <x:c r="AH48" s="13" t="str">
        <x:f>IF(INDEX('特性清单'!$B$7:$B$18,MATCH(C48,'特性清单'!$A$7:$A$18,0))="","",IF(INDEX('特性清单'!$J$7:$J$18,MATCH(C48,'特性清单'!$A$7:$A$18,0))="","",INDEX('特性清单'!$J$7:$J$18,MATCH(C48,'特性清单'!$A$7:$A$18,0))))</x:f>
      </x:c>
      <x:c r="AI48" s="10"/>
      <x:c r="AJ48" s="13" t="n">
        <x:f>IF(AND(ISNUMBER(U48),U48&gt;=0),1,0)</x:f>
        <x:v>0</x:v>
      </x:c>
      <x:c r="AK48" s="13" t="str">
        <x:f>IF(AE48&lt;&gt;"纳入","",IF(OR(O48="超时",AA48&gt;AH48),1,0))</x:f>
      </x:c>
    </x:row>
    <x:row r="49" ht="25" customHeight="1">
      <x:c r="A49" s="13" t="str">
        <x:v>F04-R2-TR</x:v>
      </x:c>
      <x:c r="B49" s="13" t="str">
        <x:v>F04-R2</x:v>
      </x:c>
      <x:c r="C49" s="13" t="str">
        <x:v>F04</x:v>
      </x:c>
      <x:c r="D49" s="58" t="n">
        <x:v>2</x:v>
      </x:c>
      <x:c r="E49" s="13" t="str">
        <x:v>Trae</x:v>
      </x:c>
      <x:c r="F49" s="10"/>
      <x:c r="G49" s="56"/>
      <x:c r="H49" s="45"/>
      <x:c r="I49" s="45"/>
      <x:c r="J49" s="48"/>
      <x:c r="K49" s="48"/>
      <x:c r="L49" s="48"/>
      <x:c r="M49" s="56"/>
      <x:c r="N49" s="56"/>
      <x:c r="O49" s="10"/>
      <x:c r="P49" s="56"/>
      <x:c r="Q49" s="56"/>
      <x:c r="R49" s="56"/>
      <x:c r="S49" s="10"/>
      <x:c r="T49" s="10"/>
      <x:c r="U49" s="53"/>
      <x:c r="V49" s="10"/>
      <x:c r="W49" s="10"/>
      <x:c r="X49" s="10"/>
      <x:c r="Y49" s="10"/>
      <x:c r="Z49" s="13" t="str">
        <x:f>IF(INDEX('特性清单'!$B$7:$B$18,MATCH(C49,'特性清单'!$A$7:$A$18,0))="","",IF(INDEX('特性清单'!$H$7:$H$18,MATCH(C49,'特性清单'!$A$7:$A$18,0))="","",INDEX('特性清单'!$H$7:$H$18,MATCH(C49,'特性清单'!$A$7:$A$18,0))))</x:f>
      </x:c>
      <x:c r="AA49" s="50" t="str">
        <x:f>IF(AND(COUNT(H49:J49)=3,I49&gt;=H49,J49&gt;=0),ROUND((I49-H49)*1440-J49,2),"")</x:f>
      </x:c>
      <x:c r="AB49" s="51" t="str">
        <x:f>IF(AND(ISNUMBER(P49),ISNUMBER(Z49),Z49&gt;0,P49&gt;=0,P49&lt;=Z49),P49/Z49,"")</x:f>
      </x:c>
      <x:c r="AC49" s="51" t="str">
        <x:f>IF(AND(ISNUMBER(Q49),ISNUMBER(Z49),Z49&gt;0,Q49&gt;=0,Q49&lt;=Z49),Q49/Z49,"")</x:f>
      </x:c>
      <x:c r="AD49" s="13" t="str">
        <x:f>IF(AE49&lt;&gt;"纳入","",IF(AND(O49="完成",AC49=1,R49=0,S49="通过",T49="通过",AA49&lt;=AH49),1,0))</x:f>
      </x:c>
      <x:c r="AE49" s="13" t="str">
        <x:f>IF(O49="","待运行",IF(O49="进行中","进行中",IF(NOT(OR(O49="完成",O49="超时",O49="工具故障",O49="主动终止")),"需核对终态",IF(OR('试点设置'!$C$15&lt;&gt;"齐备",INDEX('特性清单'!$P$7:$P$18,MATCH(C49,'特性清单'!$A$7:$A$18,0))&lt;&gt;"齐备",D49&gt;INDEX('特性清单'!$K$7:$K$18,MATCH(C49,'特性清单'!$A$7:$A$18,0))),"待补齐试验设置",IF(NOT(AND(F49&lt;&gt;"",COUNT(G49:N49)=8,COUNT(P49:R49)=3,S49&lt;&gt;"",T49&lt;&gt;"",V49&lt;&gt;"",X49&lt;&gt;"",Y49&lt;&gt;"",AI49&lt;&gt;"")),"待补齐记录",IF(NOT(AND(G49&gt;=1,G49&lt;=4,MOD(G49,1)=0,I49&gt;=H49,MIN(J49:N49)&gt;=0,MOD(M49,1)=0,MOD(N49,1)=0,AA49&gt;=0,K49&lt;=AA49,L49&lt;=K49,MIN(P49:R49)&gt;=0,MOD(P49,1)=0,MOD(Q49,1)=0,MOD(R49,1)=0,P49&lt;=Z49,Q49&lt;=Z49,OR(S49="通过",S49="失败",S49="未完成"),OR(T49="通过",T49="失败",T49="未完成"),OR(AI49="新手",AI49="偶尔使用",AI49="经常使用"),COUNTIFS($A$7:$A$150,A49)=1)),"需核对数值或ID",IF(OR(AND(O49&lt;&gt;"完成",W49=""),AND(J49&gt;0,W49=""),AND(V49&lt;&gt;"一致",W49="")),"待说明原因",IF(V49&lt;&gt;"一致","条件偏差","纳入"))))))))</x:f>
        <x:v>待运行</x:v>
      </x:c>
      <x:c r="AF49" s="13" t="n">
        <x:f>IF(AE49&lt;&gt;"纳入",0,INDEX('配对比较'!$J$7:$J$42,MATCH(B49,'配对比较'!$A$7:$A$42,0)))</x:f>
        <x:v>0</x:v>
      </x:c>
      <x:c r="AG49" s="13" t="n">
        <x:f>IF(AE49&lt;&gt;"纳入",0,INDEX('配对比较'!$L$7:$L$42,MATCH(B49,'配对比较'!$A$7:$A$42,0)))</x:f>
        <x:v>0</x:v>
      </x:c>
      <x:c r="AH49" s="13" t="str">
        <x:f>IF(INDEX('特性清单'!$B$7:$B$18,MATCH(C49,'特性清单'!$A$7:$A$18,0))="","",IF(INDEX('特性清单'!$J$7:$J$18,MATCH(C49,'特性清单'!$A$7:$A$18,0))="","",INDEX('特性清单'!$J$7:$J$18,MATCH(C49,'特性清单'!$A$7:$A$18,0))))</x:f>
      </x:c>
      <x:c r="AI49" s="10"/>
      <x:c r="AJ49" s="13" t="n">
        <x:f>IF(AND(ISNUMBER(U49),U49&gt;=0),1,0)</x:f>
        <x:v>0</x:v>
      </x:c>
      <x:c r="AK49" s="13" t="str">
        <x:f>IF(AE49&lt;&gt;"纳入","",IF(OR(O49="超时",AA49&gt;AH49),1,0))</x:f>
      </x:c>
    </x:row>
    <x:row r="50" ht="25" customHeight="1">
      <x:c r="A50" s="13" t="str">
        <x:v>F04-R2-CA</x:v>
      </x:c>
      <x:c r="B50" s="13" t="str">
        <x:v>F04-R2</x:v>
      </x:c>
      <x:c r="C50" s="13" t="str">
        <x:v>F04</x:v>
      </x:c>
      <x:c r="D50" s="58" t="n">
        <x:v>2</x:v>
      </x:c>
      <x:c r="E50" s="13" t="str">
        <x:v>CodeArts</x:v>
      </x:c>
      <x:c r="F50" s="10"/>
      <x:c r="G50" s="56"/>
      <x:c r="H50" s="45"/>
      <x:c r="I50" s="45"/>
      <x:c r="J50" s="48"/>
      <x:c r="K50" s="48"/>
      <x:c r="L50" s="48"/>
      <x:c r="M50" s="56"/>
      <x:c r="N50" s="56"/>
      <x:c r="O50" s="10"/>
      <x:c r="P50" s="56"/>
      <x:c r="Q50" s="56"/>
      <x:c r="R50" s="56"/>
      <x:c r="S50" s="10"/>
      <x:c r="T50" s="10"/>
      <x:c r="U50" s="53"/>
      <x:c r="V50" s="10"/>
      <x:c r="W50" s="10"/>
      <x:c r="X50" s="10"/>
      <x:c r="Y50" s="10"/>
      <x:c r="Z50" s="13" t="str">
        <x:f>IF(INDEX('特性清单'!$B$7:$B$18,MATCH(C50,'特性清单'!$A$7:$A$18,0))="","",IF(INDEX('特性清单'!$H$7:$H$18,MATCH(C50,'特性清单'!$A$7:$A$18,0))="","",INDEX('特性清单'!$H$7:$H$18,MATCH(C50,'特性清单'!$A$7:$A$18,0))))</x:f>
      </x:c>
      <x:c r="AA50" s="50" t="str">
        <x:f>IF(AND(COUNT(H50:J50)=3,I50&gt;=H50,J50&gt;=0),ROUND((I50-H50)*1440-J50,2),"")</x:f>
      </x:c>
      <x:c r="AB50" s="51" t="str">
        <x:f>IF(AND(ISNUMBER(P50),ISNUMBER(Z50),Z50&gt;0,P50&gt;=0,P50&lt;=Z50),P50/Z50,"")</x:f>
      </x:c>
      <x:c r="AC50" s="51" t="str">
        <x:f>IF(AND(ISNUMBER(Q50),ISNUMBER(Z50),Z50&gt;0,Q50&gt;=0,Q50&lt;=Z50),Q50/Z50,"")</x:f>
      </x:c>
      <x:c r="AD50" s="13" t="str">
        <x:f>IF(AE50&lt;&gt;"纳入","",IF(AND(O50="完成",AC50=1,R50=0,S50="通过",T50="通过",AA50&lt;=AH50),1,0))</x:f>
      </x:c>
      <x:c r="AE50" s="13" t="str">
        <x:f>IF(O50="","待运行",IF(O50="进行中","进行中",IF(NOT(OR(O50="完成",O50="超时",O50="工具故障",O50="主动终止")),"需核对终态",IF(OR('试点设置'!$C$15&lt;&gt;"齐备",INDEX('特性清单'!$P$7:$P$18,MATCH(C50,'特性清单'!$A$7:$A$18,0))&lt;&gt;"齐备",D50&gt;INDEX('特性清单'!$K$7:$K$18,MATCH(C50,'特性清单'!$A$7:$A$18,0))),"待补齐试验设置",IF(NOT(AND(F50&lt;&gt;"",COUNT(G50:N50)=8,COUNT(P50:R50)=3,S50&lt;&gt;"",T50&lt;&gt;"",V50&lt;&gt;"",X50&lt;&gt;"",Y50&lt;&gt;"",AI50&lt;&gt;"")),"待补齐记录",IF(NOT(AND(G50&gt;=1,G50&lt;=4,MOD(G50,1)=0,I50&gt;=H50,MIN(J50:N50)&gt;=0,MOD(M50,1)=0,MOD(N50,1)=0,AA50&gt;=0,K50&lt;=AA50,L50&lt;=K50,MIN(P50:R50)&gt;=0,MOD(P50,1)=0,MOD(Q50,1)=0,MOD(R50,1)=0,P50&lt;=Z50,Q50&lt;=Z50,OR(S50="通过",S50="失败",S50="未完成"),OR(T50="通过",T50="失败",T50="未完成"),OR(AI50="新手",AI50="偶尔使用",AI50="经常使用"),COUNTIFS($A$7:$A$150,A50)=1)),"需核对数值或ID",IF(OR(AND(O50&lt;&gt;"完成",W50=""),AND(J50&gt;0,W50=""),AND(V50&lt;&gt;"一致",W50="")),"待说明原因",IF(V50&lt;&gt;"一致","条件偏差","纳入"))))))))</x:f>
        <x:v>待运行</x:v>
      </x:c>
      <x:c r="AF50" s="13" t="n">
        <x:f>IF(AE50&lt;&gt;"纳入",0,INDEX('配对比较'!$J$7:$J$42,MATCH(B50,'配对比较'!$A$7:$A$42,0)))</x:f>
        <x:v>0</x:v>
      </x:c>
      <x:c r="AG50" s="13" t="n">
        <x:f>IF(AE50&lt;&gt;"纳入",0,INDEX('配对比较'!$L$7:$L$42,MATCH(B50,'配对比较'!$A$7:$A$42,0)))</x:f>
        <x:v>0</x:v>
      </x:c>
      <x:c r="AH50" s="13" t="str">
        <x:f>IF(INDEX('特性清单'!$B$7:$B$18,MATCH(C50,'特性清单'!$A$7:$A$18,0))="","",IF(INDEX('特性清单'!$J$7:$J$18,MATCH(C50,'特性清单'!$A$7:$A$18,0))="","",INDEX('特性清单'!$J$7:$J$18,MATCH(C50,'特性清单'!$A$7:$A$18,0))))</x:f>
      </x:c>
      <x:c r="AI50" s="10"/>
      <x:c r="AJ50" s="13" t="n">
        <x:f>IF(AND(ISNUMBER(U50),U50&gt;=0),1,0)</x:f>
        <x:v>0</x:v>
      </x:c>
      <x:c r="AK50" s="13" t="str">
        <x:f>IF(AE50&lt;&gt;"纳入","",IF(OR(O50="超时",AA50&gt;AH50),1,0))</x:f>
      </x:c>
    </x:row>
    <x:row r="51" ht="25" customHeight="1">
      <x:c r="A51" s="13" t="str">
        <x:v>F04-R3-CC</x:v>
      </x:c>
      <x:c r="B51" s="13" t="str">
        <x:v>F04-R3</x:v>
      </x:c>
      <x:c r="C51" s="13" t="str">
        <x:v>F04</x:v>
      </x:c>
      <x:c r="D51" s="58" t="n">
        <x:v>3</x:v>
      </x:c>
      <x:c r="E51" s="13" t="str">
        <x:v>Claude Code</x:v>
      </x:c>
      <x:c r="F51" s="10"/>
      <x:c r="G51" s="56"/>
      <x:c r="H51" s="45"/>
      <x:c r="I51" s="45"/>
      <x:c r="J51" s="48"/>
      <x:c r="K51" s="48"/>
      <x:c r="L51" s="48"/>
      <x:c r="M51" s="56"/>
      <x:c r="N51" s="56"/>
      <x:c r="O51" s="10"/>
      <x:c r="P51" s="56"/>
      <x:c r="Q51" s="56"/>
      <x:c r="R51" s="56"/>
      <x:c r="S51" s="10"/>
      <x:c r="T51" s="10"/>
      <x:c r="U51" s="53"/>
      <x:c r="V51" s="10"/>
      <x:c r="W51" s="10"/>
      <x:c r="X51" s="10"/>
      <x:c r="Y51" s="10"/>
      <x:c r="Z51" s="13" t="str">
        <x:f>IF(INDEX('特性清单'!$B$7:$B$18,MATCH(C51,'特性清单'!$A$7:$A$18,0))="","",IF(INDEX('特性清单'!$H$7:$H$18,MATCH(C51,'特性清单'!$A$7:$A$18,0))="","",INDEX('特性清单'!$H$7:$H$18,MATCH(C51,'特性清单'!$A$7:$A$18,0))))</x:f>
      </x:c>
      <x:c r="AA51" s="50" t="str">
        <x:f>IF(AND(COUNT(H51:J51)=3,I51&gt;=H51,J51&gt;=0),ROUND((I51-H51)*1440-J51,2),"")</x:f>
      </x:c>
      <x:c r="AB51" s="51" t="str">
        <x:f>IF(AND(ISNUMBER(P51),ISNUMBER(Z51),Z51&gt;0,P51&gt;=0,P51&lt;=Z51),P51/Z51,"")</x:f>
      </x:c>
      <x:c r="AC51" s="51" t="str">
        <x:f>IF(AND(ISNUMBER(Q51),ISNUMBER(Z51),Z51&gt;0,Q51&gt;=0,Q51&lt;=Z51),Q51/Z51,"")</x:f>
      </x:c>
      <x:c r="AD51" s="13" t="str">
        <x:f>IF(AE51&lt;&gt;"纳入","",IF(AND(O51="完成",AC51=1,R51=0,S51="通过",T51="通过",AA51&lt;=AH51),1,0))</x:f>
      </x:c>
      <x:c r="AE51" s="13" t="str">
        <x:f>IF(O51="","待运行",IF(O51="进行中","进行中",IF(NOT(OR(O51="完成",O51="超时",O51="工具故障",O51="主动终止")),"需核对终态",IF(OR('试点设置'!$C$15&lt;&gt;"齐备",INDEX('特性清单'!$P$7:$P$18,MATCH(C51,'特性清单'!$A$7:$A$18,0))&lt;&gt;"齐备",D51&gt;INDEX('特性清单'!$K$7:$K$18,MATCH(C51,'特性清单'!$A$7:$A$18,0))),"待补齐试验设置",IF(NOT(AND(F51&lt;&gt;"",COUNT(G51:N51)=8,COUNT(P51:R51)=3,S51&lt;&gt;"",T51&lt;&gt;"",V51&lt;&gt;"",X51&lt;&gt;"",Y51&lt;&gt;"",AI51&lt;&gt;"")),"待补齐记录",IF(NOT(AND(G51&gt;=1,G51&lt;=4,MOD(G51,1)=0,I51&gt;=H51,MIN(J51:N51)&gt;=0,MOD(M51,1)=0,MOD(N51,1)=0,AA51&gt;=0,K51&lt;=AA51,L51&lt;=K51,MIN(P51:R51)&gt;=0,MOD(P51,1)=0,MOD(Q51,1)=0,MOD(R51,1)=0,P51&lt;=Z51,Q51&lt;=Z51,OR(S51="通过",S51="失败",S51="未完成"),OR(T51="通过",T51="失败",T51="未完成"),OR(AI51="新手",AI51="偶尔使用",AI51="经常使用"),COUNTIFS($A$7:$A$150,A51)=1)),"需核对数值或ID",IF(OR(AND(O51&lt;&gt;"完成",W51=""),AND(J51&gt;0,W51=""),AND(V51&lt;&gt;"一致",W51="")),"待说明原因",IF(V51&lt;&gt;"一致","条件偏差","纳入"))))))))</x:f>
        <x:v>待运行</x:v>
      </x:c>
      <x:c r="AF51" s="13" t="n">
        <x:f>IF(AE51&lt;&gt;"纳入",0,INDEX('配对比较'!$J$7:$J$42,MATCH(B51,'配对比较'!$A$7:$A$42,0)))</x:f>
        <x:v>0</x:v>
      </x:c>
      <x:c r="AG51" s="13" t="n">
        <x:f>IF(AE51&lt;&gt;"纳入",0,INDEX('配对比较'!$L$7:$L$42,MATCH(B51,'配对比较'!$A$7:$A$42,0)))</x:f>
        <x:v>0</x:v>
      </x:c>
      <x:c r="AH51" s="13" t="str">
        <x:f>IF(INDEX('特性清单'!$B$7:$B$18,MATCH(C51,'特性清单'!$A$7:$A$18,0))="","",IF(INDEX('特性清单'!$J$7:$J$18,MATCH(C51,'特性清单'!$A$7:$A$18,0))="","",INDEX('特性清单'!$J$7:$J$18,MATCH(C51,'特性清单'!$A$7:$A$18,0))))</x:f>
      </x:c>
      <x:c r="AI51" s="10"/>
      <x:c r="AJ51" s="13" t="n">
        <x:f>IF(AND(ISNUMBER(U51),U51&gt;=0),1,0)</x:f>
        <x:v>0</x:v>
      </x:c>
      <x:c r="AK51" s="13" t="str">
        <x:f>IF(AE51&lt;&gt;"纳入","",IF(OR(O51="超时",AA51&gt;AH51),1,0))</x:f>
      </x:c>
    </x:row>
    <x:row r="52" ht="25" customHeight="1">
      <x:c r="A52" s="13" t="str">
        <x:v>F04-R3-CX</x:v>
      </x:c>
      <x:c r="B52" s="13" t="str">
        <x:v>F04-R3</x:v>
      </x:c>
      <x:c r="C52" s="13" t="str">
        <x:v>F04</x:v>
      </x:c>
      <x:c r="D52" s="58" t="n">
        <x:v>3</x:v>
      </x:c>
      <x:c r="E52" s="13" t="str">
        <x:v>Codex</x:v>
      </x:c>
      <x:c r="F52" s="10"/>
      <x:c r="G52" s="56"/>
      <x:c r="H52" s="45"/>
      <x:c r="I52" s="45"/>
      <x:c r="J52" s="48"/>
      <x:c r="K52" s="48"/>
      <x:c r="L52" s="48"/>
      <x:c r="M52" s="56"/>
      <x:c r="N52" s="56"/>
      <x:c r="O52" s="10"/>
      <x:c r="P52" s="56"/>
      <x:c r="Q52" s="56"/>
      <x:c r="R52" s="56"/>
      <x:c r="S52" s="10"/>
      <x:c r="T52" s="10"/>
      <x:c r="U52" s="53"/>
      <x:c r="V52" s="10"/>
      <x:c r="W52" s="10"/>
      <x:c r="X52" s="10"/>
      <x:c r="Y52" s="10"/>
      <x:c r="Z52" s="13" t="str">
        <x:f>IF(INDEX('特性清单'!$B$7:$B$18,MATCH(C52,'特性清单'!$A$7:$A$18,0))="","",IF(INDEX('特性清单'!$H$7:$H$18,MATCH(C52,'特性清单'!$A$7:$A$18,0))="","",INDEX('特性清单'!$H$7:$H$18,MATCH(C52,'特性清单'!$A$7:$A$18,0))))</x:f>
      </x:c>
      <x:c r="AA52" s="50" t="str">
        <x:f>IF(AND(COUNT(H52:J52)=3,I52&gt;=H52,J52&gt;=0),ROUND((I52-H52)*1440-J52,2),"")</x:f>
      </x:c>
      <x:c r="AB52" s="51" t="str">
        <x:f>IF(AND(ISNUMBER(P52),ISNUMBER(Z52),Z52&gt;0,P52&gt;=0,P52&lt;=Z52),P52/Z52,"")</x:f>
      </x:c>
      <x:c r="AC52" s="51" t="str">
        <x:f>IF(AND(ISNUMBER(Q52),ISNUMBER(Z52),Z52&gt;0,Q52&gt;=0,Q52&lt;=Z52),Q52/Z52,"")</x:f>
      </x:c>
      <x:c r="AD52" s="13" t="str">
        <x:f>IF(AE52&lt;&gt;"纳入","",IF(AND(O52="完成",AC52=1,R52=0,S52="通过",T52="通过",AA52&lt;=AH52),1,0))</x:f>
      </x:c>
      <x:c r="AE52" s="13" t="str">
        <x:f>IF(O52="","待运行",IF(O52="进行中","进行中",IF(NOT(OR(O52="完成",O52="超时",O52="工具故障",O52="主动终止")),"需核对终态",IF(OR('试点设置'!$C$15&lt;&gt;"齐备",INDEX('特性清单'!$P$7:$P$18,MATCH(C52,'特性清单'!$A$7:$A$18,0))&lt;&gt;"齐备",D52&gt;INDEX('特性清单'!$K$7:$K$18,MATCH(C52,'特性清单'!$A$7:$A$18,0))),"待补齐试验设置",IF(NOT(AND(F52&lt;&gt;"",COUNT(G52:N52)=8,COUNT(P52:R52)=3,S52&lt;&gt;"",T52&lt;&gt;"",V52&lt;&gt;"",X52&lt;&gt;"",Y52&lt;&gt;"",AI52&lt;&gt;"")),"待补齐记录",IF(NOT(AND(G52&gt;=1,G52&lt;=4,MOD(G52,1)=0,I52&gt;=H52,MIN(J52:N52)&gt;=0,MOD(M52,1)=0,MOD(N52,1)=0,AA52&gt;=0,K52&lt;=AA52,L52&lt;=K52,MIN(P52:R52)&gt;=0,MOD(P52,1)=0,MOD(Q52,1)=0,MOD(R52,1)=0,P52&lt;=Z52,Q52&lt;=Z52,OR(S52="通过",S52="失败",S52="未完成"),OR(T52="通过",T52="失败",T52="未完成"),OR(AI52="新手",AI52="偶尔使用",AI52="经常使用"),COUNTIFS($A$7:$A$150,A52)=1)),"需核对数值或ID",IF(OR(AND(O52&lt;&gt;"完成",W52=""),AND(J52&gt;0,W52=""),AND(V52&lt;&gt;"一致",W52="")),"待说明原因",IF(V52&lt;&gt;"一致","条件偏差","纳入"))))))))</x:f>
        <x:v>待运行</x:v>
      </x:c>
      <x:c r="AF52" s="13" t="n">
        <x:f>IF(AE52&lt;&gt;"纳入",0,INDEX('配对比较'!$J$7:$J$42,MATCH(B52,'配对比较'!$A$7:$A$42,0)))</x:f>
        <x:v>0</x:v>
      </x:c>
      <x:c r="AG52" s="13" t="n">
        <x:f>IF(AE52&lt;&gt;"纳入",0,INDEX('配对比较'!$L$7:$L$42,MATCH(B52,'配对比较'!$A$7:$A$42,0)))</x:f>
        <x:v>0</x:v>
      </x:c>
      <x:c r="AH52" s="13" t="str">
        <x:f>IF(INDEX('特性清单'!$B$7:$B$18,MATCH(C52,'特性清单'!$A$7:$A$18,0))="","",IF(INDEX('特性清单'!$J$7:$J$18,MATCH(C52,'特性清单'!$A$7:$A$18,0))="","",INDEX('特性清单'!$J$7:$J$18,MATCH(C52,'特性清单'!$A$7:$A$18,0))))</x:f>
      </x:c>
      <x:c r="AI52" s="10"/>
      <x:c r="AJ52" s="13" t="n">
        <x:f>IF(AND(ISNUMBER(U52),U52&gt;=0),1,0)</x:f>
        <x:v>0</x:v>
      </x:c>
      <x:c r="AK52" s="13" t="str">
        <x:f>IF(AE52&lt;&gt;"纳入","",IF(OR(O52="超时",AA52&gt;AH52),1,0))</x:f>
      </x:c>
    </x:row>
    <x:row r="53" ht="25" customHeight="1">
      <x:c r="A53" s="13" t="str">
        <x:v>F04-R3-TR</x:v>
      </x:c>
      <x:c r="B53" s="13" t="str">
        <x:v>F04-R3</x:v>
      </x:c>
      <x:c r="C53" s="13" t="str">
        <x:v>F04</x:v>
      </x:c>
      <x:c r="D53" s="58" t="n">
        <x:v>3</x:v>
      </x:c>
      <x:c r="E53" s="13" t="str">
        <x:v>Trae</x:v>
      </x:c>
      <x:c r="F53" s="10"/>
      <x:c r="G53" s="56"/>
      <x:c r="H53" s="45"/>
      <x:c r="I53" s="45"/>
      <x:c r="J53" s="48"/>
      <x:c r="K53" s="48"/>
      <x:c r="L53" s="48"/>
      <x:c r="M53" s="56"/>
      <x:c r="N53" s="56"/>
      <x:c r="O53" s="10"/>
      <x:c r="P53" s="56"/>
      <x:c r="Q53" s="56"/>
      <x:c r="R53" s="56"/>
      <x:c r="S53" s="10"/>
      <x:c r="T53" s="10"/>
      <x:c r="U53" s="53"/>
      <x:c r="V53" s="10"/>
      <x:c r="W53" s="10"/>
      <x:c r="X53" s="10"/>
      <x:c r="Y53" s="10"/>
      <x:c r="Z53" s="13" t="str">
        <x:f>IF(INDEX('特性清单'!$B$7:$B$18,MATCH(C53,'特性清单'!$A$7:$A$18,0))="","",IF(INDEX('特性清单'!$H$7:$H$18,MATCH(C53,'特性清单'!$A$7:$A$18,0))="","",INDEX('特性清单'!$H$7:$H$18,MATCH(C53,'特性清单'!$A$7:$A$18,0))))</x:f>
      </x:c>
      <x:c r="AA53" s="50" t="str">
        <x:f>IF(AND(COUNT(H53:J53)=3,I53&gt;=H53,J53&gt;=0),ROUND((I53-H53)*1440-J53,2),"")</x:f>
      </x:c>
      <x:c r="AB53" s="51" t="str">
        <x:f>IF(AND(ISNUMBER(P53),ISNUMBER(Z53),Z53&gt;0,P53&gt;=0,P53&lt;=Z53),P53/Z53,"")</x:f>
      </x:c>
      <x:c r="AC53" s="51" t="str">
        <x:f>IF(AND(ISNUMBER(Q53),ISNUMBER(Z53),Z53&gt;0,Q53&gt;=0,Q53&lt;=Z53),Q53/Z53,"")</x:f>
      </x:c>
      <x:c r="AD53" s="13" t="str">
        <x:f>IF(AE53&lt;&gt;"纳入","",IF(AND(O53="完成",AC53=1,R53=0,S53="通过",T53="通过",AA53&lt;=AH53),1,0))</x:f>
      </x:c>
      <x:c r="AE53" s="13" t="str">
        <x:f>IF(O53="","待运行",IF(O53="进行中","进行中",IF(NOT(OR(O53="完成",O53="超时",O53="工具故障",O53="主动终止")),"需核对终态",IF(OR('试点设置'!$C$15&lt;&gt;"齐备",INDEX('特性清单'!$P$7:$P$18,MATCH(C53,'特性清单'!$A$7:$A$18,0))&lt;&gt;"齐备",D53&gt;INDEX('特性清单'!$K$7:$K$18,MATCH(C53,'特性清单'!$A$7:$A$18,0))),"待补齐试验设置",IF(NOT(AND(F53&lt;&gt;"",COUNT(G53:N53)=8,COUNT(P53:R53)=3,S53&lt;&gt;"",T53&lt;&gt;"",V53&lt;&gt;"",X53&lt;&gt;"",Y53&lt;&gt;"",AI53&lt;&gt;"")),"待补齐记录",IF(NOT(AND(G53&gt;=1,G53&lt;=4,MOD(G53,1)=0,I53&gt;=H53,MIN(J53:N53)&gt;=0,MOD(M53,1)=0,MOD(N53,1)=0,AA53&gt;=0,K53&lt;=AA53,L53&lt;=K53,MIN(P53:R53)&gt;=0,MOD(P53,1)=0,MOD(Q53,1)=0,MOD(R53,1)=0,P53&lt;=Z53,Q53&lt;=Z53,OR(S53="通过",S53="失败",S53="未完成"),OR(T53="通过",T53="失败",T53="未完成"),OR(AI53="新手",AI53="偶尔使用",AI53="经常使用"),COUNTIFS($A$7:$A$150,A53)=1)),"需核对数值或ID",IF(OR(AND(O53&lt;&gt;"完成",W53=""),AND(J53&gt;0,W53=""),AND(V53&lt;&gt;"一致",W53="")),"待说明原因",IF(V53&lt;&gt;"一致","条件偏差","纳入"))))))))</x:f>
        <x:v>待运行</x:v>
      </x:c>
      <x:c r="AF53" s="13" t="n">
        <x:f>IF(AE53&lt;&gt;"纳入",0,INDEX('配对比较'!$J$7:$J$42,MATCH(B53,'配对比较'!$A$7:$A$42,0)))</x:f>
        <x:v>0</x:v>
      </x:c>
      <x:c r="AG53" s="13" t="n">
        <x:f>IF(AE53&lt;&gt;"纳入",0,INDEX('配对比较'!$L$7:$L$42,MATCH(B53,'配对比较'!$A$7:$A$42,0)))</x:f>
        <x:v>0</x:v>
      </x:c>
      <x:c r="AH53" s="13" t="str">
        <x:f>IF(INDEX('特性清单'!$B$7:$B$18,MATCH(C53,'特性清单'!$A$7:$A$18,0))="","",IF(INDEX('特性清单'!$J$7:$J$18,MATCH(C53,'特性清单'!$A$7:$A$18,0))="","",INDEX('特性清单'!$J$7:$J$18,MATCH(C53,'特性清单'!$A$7:$A$18,0))))</x:f>
      </x:c>
      <x:c r="AI53" s="10"/>
      <x:c r="AJ53" s="13" t="n">
        <x:f>IF(AND(ISNUMBER(U53),U53&gt;=0),1,0)</x:f>
        <x:v>0</x:v>
      </x:c>
      <x:c r="AK53" s="13" t="str">
        <x:f>IF(AE53&lt;&gt;"纳入","",IF(OR(O53="超时",AA53&gt;AH53),1,0))</x:f>
      </x:c>
    </x:row>
    <x:row r="54" ht="25" customHeight="1">
      <x:c r="A54" s="13" t="str">
        <x:v>F04-R3-CA</x:v>
      </x:c>
      <x:c r="B54" s="13" t="str">
        <x:v>F04-R3</x:v>
      </x:c>
      <x:c r="C54" s="13" t="str">
        <x:v>F04</x:v>
      </x:c>
      <x:c r="D54" s="58" t="n">
        <x:v>3</x:v>
      </x:c>
      <x:c r="E54" s="13" t="str">
        <x:v>CodeArts</x:v>
      </x:c>
      <x:c r="F54" s="10"/>
      <x:c r="G54" s="56"/>
      <x:c r="H54" s="45"/>
      <x:c r="I54" s="45"/>
      <x:c r="J54" s="48"/>
      <x:c r="K54" s="48"/>
      <x:c r="L54" s="48"/>
      <x:c r="M54" s="56"/>
      <x:c r="N54" s="56"/>
      <x:c r="O54" s="10"/>
      <x:c r="P54" s="56"/>
      <x:c r="Q54" s="56"/>
      <x:c r="R54" s="56"/>
      <x:c r="S54" s="10"/>
      <x:c r="T54" s="10"/>
      <x:c r="U54" s="53"/>
      <x:c r="V54" s="10"/>
      <x:c r="W54" s="10"/>
      <x:c r="X54" s="10"/>
      <x:c r="Y54" s="10"/>
      <x:c r="Z54" s="13" t="str">
        <x:f>IF(INDEX('特性清单'!$B$7:$B$18,MATCH(C54,'特性清单'!$A$7:$A$18,0))="","",IF(INDEX('特性清单'!$H$7:$H$18,MATCH(C54,'特性清单'!$A$7:$A$18,0))="","",INDEX('特性清单'!$H$7:$H$18,MATCH(C54,'特性清单'!$A$7:$A$18,0))))</x:f>
      </x:c>
      <x:c r="AA54" s="50" t="str">
        <x:f>IF(AND(COUNT(H54:J54)=3,I54&gt;=H54,J54&gt;=0),ROUND((I54-H54)*1440-J54,2),"")</x:f>
      </x:c>
      <x:c r="AB54" s="51" t="str">
        <x:f>IF(AND(ISNUMBER(P54),ISNUMBER(Z54),Z54&gt;0,P54&gt;=0,P54&lt;=Z54),P54/Z54,"")</x:f>
      </x:c>
      <x:c r="AC54" s="51" t="str">
        <x:f>IF(AND(ISNUMBER(Q54),ISNUMBER(Z54),Z54&gt;0,Q54&gt;=0,Q54&lt;=Z54),Q54/Z54,"")</x:f>
      </x:c>
      <x:c r="AD54" s="13" t="str">
        <x:f>IF(AE54&lt;&gt;"纳入","",IF(AND(O54="完成",AC54=1,R54=0,S54="通过",T54="通过",AA54&lt;=AH54),1,0))</x:f>
      </x:c>
      <x:c r="AE54" s="13" t="str">
        <x:f>IF(O54="","待运行",IF(O54="进行中","进行中",IF(NOT(OR(O54="完成",O54="超时",O54="工具故障",O54="主动终止")),"需核对终态",IF(OR('试点设置'!$C$15&lt;&gt;"齐备",INDEX('特性清单'!$P$7:$P$18,MATCH(C54,'特性清单'!$A$7:$A$18,0))&lt;&gt;"齐备",D54&gt;INDEX('特性清单'!$K$7:$K$18,MATCH(C54,'特性清单'!$A$7:$A$18,0))),"待补齐试验设置",IF(NOT(AND(F54&lt;&gt;"",COUNT(G54:N54)=8,COUNT(P54:R54)=3,S54&lt;&gt;"",T54&lt;&gt;"",V54&lt;&gt;"",X54&lt;&gt;"",Y54&lt;&gt;"",AI54&lt;&gt;"")),"待补齐记录",IF(NOT(AND(G54&gt;=1,G54&lt;=4,MOD(G54,1)=0,I54&gt;=H54,MIN(J54:N54)&gt;=0,MOD(M54,1)=0,MOD(N54,1)=0,AA54&gt;=0,K54&lt;=AA54,L54&lt;=K54,MIN(P54:R54)&gt;=0,MOD(P54,1)=0,MOD(Q54,1)=0,MOD(R54,1)=0,P54&lt;=Z54,Q54&lt;=Z54,OR(S54="通过",S54="失败",S54="未完成"),OR(T54="通过",T54="失败",T54="未完成"),OR(AI54="新手",AI54="偶尔使用",AI54="经常使用"),COUNTIFS($A$7:$A$150,A54)=1)),"需核对数值或ID",IF(OR(AND(O54&lt;&gt;"完成",W54=""),AND(J54&gt;0,W54=""),AND(V54&lt;&gt;"一致",W54="")),"待说明原因",IF(V54&lt;&gt;"一致","条件偏差","纳入"))))))))</x:f>
        <x:v>待运行</x:v>
      </x:c>
      <x:c r="AF54" s="13" t="n">
        <x:f>IF(AE54&lt;&gt;"纳入",0,INDEX('配对比较'!$J$7:$J$42,MATCH(B54,'配对比较'!$A$7:$A$42,0)))</x:f>
        <x:v>0</x:v>
      </x:c>
      <x:c r="AG54" s="13" t="n">
        <x:f>IF(AE54&lt;&gt;"纳入",0,INDEX('配对比较'!$L$7:$L$42,MATCH(B54,'配对比较'!$A$7:$A$42,0)))</x:f>
        <x:v>0</x:v>
      </x:c>
      <x:c r="AH54" s="13" t="str">
        <x:f>IF(INDEX('特性清单'!$B$7:$B$18,MATCH(C54,'特性清单'!$A$7:$A$18,0))="","",IF(INDEX('特性清单'!$J$7:$J$18,MATCH(C54,'特性清单'!$A$7:$A$18,0))="","",INDEX('特性清单'!$J$7:$J$18,MATCH(C54,'特性清单'!$A$7:$A$18,0))))</x:f>
      </x:c>
      <x:c r="AI54" s="10"/>
      <x:c r="AJ54" s="13" t="n">
        <x:f>IF(AND(ISNUMBER(U54),U54&gt;=0),1,0)</x:f>
        <x:v>0</x:v>
      </x:c>
      <x:c r="AK54" s="13" t="str">
        <x:f>IF(AE54&lt;&gt;"纳入","",IF(OR(O54="超时",AA54&gt;AH54),1,0))</x:f>
      </x:c>
    </x:row>
    <x:row r="55" ht="25" customHeight="1">
      <x:c r="A55" s="13" t="str">
        <x:v>F05-R1-CC</x:v>
      </x:c>
      <x:c r="B55" s="13" t="str">
        <x:v>F05-R1</x:v>
      </x:c>
      <x:c r="C55" s="13" t="str">
        <x:v>F05</x:v>
      </x:c>
      <x:c r="D55" s="58" t="n">
        <x:v>1</x:v>
      </x:c>
      <x:c r="E55" s="13" t="str">
        <x:v>Claude Code</x:v>
      </x:c>
      <x:c r="F55" s="10"/>
      <x:c r="G55" s="56"/>
      <x:c r="H55" s="45"/>
      <x:c r="I55" s="45"/>
      <x:c r="J55" s="48"/>
      <x:c r="K55" s="48"/>
      <x:c r="L55" s="48"/>
      <x:c r="M55" s="56"/>
      <x:c r="N55" s="56"/>
      <x:c r="O55" s="10"/>
      <x:c r="P55" s="56"/>
      <x:c r="Q55" s="56"/>
      <x:c r="R55" s="56"/>
      <x:c r="S55" s="10"/>
      <x:c r="T55" s="10"/>
      <x:c r="U55" s="53"/>
      <x:c r="V55" s="10"/>
      <x:c r="W55" s="10"/>
      <x:c r="X55" s="10"/>
      <x:c r="Y55" s="10"/>
      <x:c r="Z55" s="13" t="str">
        <x:f>IF(INDEX('特性清单'!$B$7:$B$18,MATCH(C55,'特性清单'!$A$7:$A$18,0))="","",IF(INDEX('特性清单'!$H$7:$H$18,MATCH(C55,'特性清单'!$A$7:$A$18,0))="","",INDEX('特性清单'!$H$7:$H$18,MATCH(C55,'特性清单'!$A$7:$A$18,0))))</x:f>
      </x:c>
      <x:c r="AA55" s="50" t="str">
        <x:f>IF(AND(COUNT(H55:J55)=3,I55&gt;=H55,J55&gt;=0),ROUND((I55-H55)*1440-J55,2),"")</x:f>
      </x:c>
      <x:c r="AB55" s="51" t="str">
        <x:f>IF(AND(ISNUMBER(P55),ISNUMBER(Z55),Z55&gt;0,P55&gt;=0,P55&lt;=Z55),P55/Z55,"")</x:f>
      </x:c>
      <x:c r="AC55" s="51" t="str">
        <x:f>IF(AND(ISNUMBER(Q55),ISNUMBER(Z55),Z55&gt;0,Q55&gt;=0,Q55&lt;=Z55),Q55/Z55,"")</x:f>
      </x:c>
      <x:c r="AD55" s="13" t="str">
        <x:f>IF(AE55&lt;&gt;"纳入","",IF(AND(O55="完成",AC55=1,R55=0,S55="通过",T55="通过",AA55&lt;=AH55),1,0))</x:f>
      </x:c>
      <x:c r="AE55" s="13" t="str">
        <x:f>IF(O55="","待运行",IF(O55="进行中","进行中",IF(NOT(OR(O55="完成",O55="超时",O55="工具故障",O55="主动终止")),"需核对终态",IF(OR('试点设置'!$C$15&lt;&gt;"齐备",INDEX('特性清单'!$P$7:$P$18,MATCH(C55,'特性清单'!$A$7:$A$18,0))&lt;&gt;"齐备",D55&gt;INDEX('特性清单'!$K$7:$K$18,MATCH(C55,'特性清单'!$A$7:$A$18,0))),"待补齐试验设置",IF(NOT(AND(F55&lt;&gt;"",COUNT(G55:N55)=8,COUNT(P55:R55)=3,S55&lt;&gt;"",T55&lt;&gt;"",V55&lt;&gt;"",X55&lt;&gt;"",Y55&lt;&gt;"",AI55&lt;&gt;"")),"待补齐记录",IF(NOT(AND(G55&gt;=1,G55&lt;=4,MOD(G55,1)=0,I55&gt;=H55,MIN(J55:N55)&gt;=0,MOD(M55,1)=0,MOD(N55,1)=0,AA55&gt;=0,K55&lt;=AA55,L55&lt;=K55,MIN(P55:R55)&gt;=0,MOD(P55,1)=0,MOD(Q55,1)=0,MOD(R55,1)=0,P55&lt;=Z55,Q55&lt;=Z55,OR(S55="通过",S55="失败",S55="未完成"),OR(T55="通过",T55="失败",T55="未完成"),OR(AI55="新手",AI55="偶尔使用",AI55="经常使用"),COUNTIFS($A$7:$A$150,A55)=1)),"需核对数值或ID",IF(OR(AND(O55&lt;&gt;"完成",W55=""),AND(J55&gt;0,W55=""),AND(V55&lt;&gt;"一致",W55="")),"待说明原因",IF(V55&lt;&gt;"一致","条件偏差","纳入"))))))))</x:f>
        <x:v>待运行</x:v>
      </x:c>
      <x:c r="AF55" s="13" t="n">
        <x:f>IF(AE55&lt;&gt;"纳入",0,INDEX('配对比较'!$J$7:$J$42,MATCH(B55,'配对比较'!$A$7:$A$42,0)))</x:f>
        <x:v>0</x:v>
      </x:c>
      <x:c r="AG55" s="13" t="n">
        <x:f>IF(AE55&lt;&gt;"纳入",0,INDEX('配对比较'!$L$7:$L$42,MATCH(B55,'配对比较'!$A$7:$A$42,0)))</x:f>
        <x:v>0</x:v>
      </x:c>
      <x:c r="AH55" s="13" t="str">
        <x:f>IF(INDEX('特性清单'!$B$7:$B$18,MATCH(C55,'特性清单'!$A$7:$A$18,0))="","",IF(INDEX('特性清单'!$J$7:$J$18,MATCH(C55,'特性清单'!$A$7:$A$18,0))="","",INDEX('特性清单'!$J$7:$J$18,MATCH(C55,'特性清单'!$A$7:$A$18,0))))</x:f>
      </x:c>
      <x:c r="AI55" s="10"/>
      <x:c r="AJ55" s="13" t="n">
        <x:f>IF(AND(ISNUMBER(U55),U55&gt;=0),1,0)</x:f>
        <x:v>0</x:v>
      </x:c>
      <x:c r="AK55" s="13" t="str">
        <x:f>IF(AE55&lt;&gt;"纳入","",IF(OR(O55="超时",AA55&gt;AH55),1,0))</x:f>
      </x:c>
    </x:row>
    <x:row r="56" ht="25" customHeight="1">
      <x:c r="A56" s="13" t="str">
        <x:v>F05-R1-CX</x:v>
      </x:c>
      <x:c r="B56" s="13" t="str">
        <x:v>F05-R1</x:v>
      </x:c>
      <x:c r="C56" s="13" t="str">
        <x:v>F05</x:v>
      </x:c>
      <x:c r="D56" s="58" t="n">
        <x:v>1</x:v>
      </x:c>
      <x:c r="E56" s="13" t="str">
        <x:v>Codex</x:v>
      </x:c>
      <x:c r="F56" s="10"/>
      <x:c r="G56" s="56"/>
      <x:c r="H56" s="45"/>
      <x:c r="I56" s="45"/>
      <x:c r="J56" s="48"/>
      <x:c r="K56" s="48"/>
      <x:c r="L56" s="48"/>
      <x:c r="M56" s="56"/>
      <x:c r="N56" s="56"/>
      <x:c r="O56" s="10"/>
      <x:c r="P56" s="56"/>
      <x:c r="Q56" s="56"/>
      <x:c r="R56" s="56"/>
      <x:c r="S56" s="10"/>
      <x:c r="T56" s="10"/>
      <x:c r="U56" s="53"/>
      <x:c r="V56" s="10"/>
      <x:c r="W56" s="10"/>
      <x:c r="X56" s="10"/>
      <x:c r="Y56" s="10"/>
      <x:c r="Z56" s="13" t="str">
        <x:f>IF(INDEX('特性清单'!$B$7:$B$18,MATCH(C56,'特性清单'!$A$7:$A$18,0))="","",IF(INDEX('特性清单'!$H$7:$H$18,MATCH(C56,'特性清单'!$A$7:$A$18,0))="","",INDEX('特性清单'!$H$7:$H$18,MATCH(C56,'特性清单'!$A$7:$A$18,0))))</x:f>
      </x:c>
      <x:c r="AA56" s="50" t="str">
        <x:f>IF(AND(COUNT(H56:J56)=3,I56&gt;=H56,J56&gt;=0),ROUND((I56-H56)*1440-J56,2),"")</x:f>
      </x:c>
      <x:c r="AB56" s="51" t="str">
        <x:f>IF(AND(ISNUMBER(P56),ISNUMBER(Z56),Z56&gt;0,P56&gt;=0,P56&lt;=Z56),P56/Z56,"")</x:f>
      </x:c>
      <x:c r="AC56" s="51" t="str">
        <x:f>IF(AND(ISNUMBER(Q56),ISNUMBER(Z56),Z56&gt;0,Q56&gt;=0,Q56&lt;=Z56),Q56/Z56,"")</x:f>
      </x:c>
      <x:c r="AD56" s="13" t="str">
        <x:f>IF(AE56&lt;&gt;"纳入","",IF(AND(O56="完成",AC56=1,R56=0,S56="通过",T56="通过",AA56&lt;=AH56),1,0))</x:f>
      </x:c>
      <x:c r="AE56" s="13" t="str">
        <x:f>IF(O56="","待运行",IF(O56="进行中","进行中",IF(NOT(OR(O56="完成",O56="超时",O56="工具故障",O56="主动终止")),"需核对终态",IF(OR('试点设置'!$C$15&lt;&gt;"齐备",INDEX('特性清单'!$P$7:$P$18,MATCH(C56,'特性清单'!$A$7:$A$18,0))&lt;&gt;"齐备",D56&gt;INDEX('特性清单'!$K$7:$K$18,MATCH(C56,'特性清单'!$A$7:$A$18,0))),"待补齐试验设置",IF(NOT(AND(F56&lt;&gt;"",COUNT(G56:N56)=8,COUNT(P56:R56)=3,S56&lt;&gt;"",T56&lt;&gt;"",V56&lt;&gt;"",X56&lt;&gt;"",Y56&lt;&gt;"",AI56&lt;&gt;"")),"待补齐记录",IF(NOT(AND(G56&gt;=1,G56&lt;=4,MOD(G56,1)=0,I56&gt;=H56,MIN(J56:N56)&gt;=0,MOD(M56,1)=0,MOD(N56,1)=0,AA56&gt;=0,K56&lt;=AA56,L56&lt;=K56,MIN(P56:R56)&gt;=0,MOD(P56,1)=0,MOD(Q56,1)=0,MOD(R56,1)=0,P56&lt;=Z56,Q56&lt;=Z56,OR(S56="通过",S56="失败",S56="未完成"),OR(T56="通过",T56="失败",T56="未完成"),OR(AI56="新手",AI56="偶尔使用",AI56="经常使用"),COUNTIFS($A$7:$A$150,A56)=1)),"需核对数值或ID",IF(OR(AND(O56&lt;&gt;"完成",W56=""),AND(J56&gt;0,W56=""),AND(V56&lt;&gt;"一致",W56="")),"待说明原因",IF(V56&lt;&gt;"一致","条件偏差","纳入"))))))))</x:f>
        <x:v>待运行</x:v>
      </x:c>
      <x:c r="AF56" s="13" t="n">
        <x:f>IF(AE56&lt;&gt;"纳入",0,INDEX('配对比较'!$J$7:$J$42,MATCH(B56,'配对比较'!$A$7:$A$42,0)))</x:f>
        <x:v>0</x:v>
      </x:c>
      <x:c r="AG56" s="13" t="n">
        <x:f>IF(AE56&lt;&gt;"纳入",0,INDEX('配对比较'!$L$7:$L$42,MATCH(B56,'配对比较'!$A$7:$A$42,0)))</x:f>
        <x:v>0</x:v>
      </x:c>
      <x:c r="AH56" s="13" t="str">
        <x:f>IF(INDEX('特性清单'!$B$7:$B$18,MATCH(C56,'特性清单'!$A$7:$A$18,0))="","",IF(INDEX('特性清单'!$J$7:$J$18,MATCH(C56,'特性清单'!$A$7:$A$18,0))="","",INDEX('特性清单'!$J$7:$J$18,MATCH(C56,'特性清单'!$A$7:$A$18,0))))</x:f>
      </x:c>
      <x:c r="AI56" s="10"/>
      <x:c r="AJ56" s="13" t="n">
        <x:f>IF(AND(ISNUMBER(U56),U56&gt;=0),1,0)</x:f>
        <x:v>0</x:v>
      </x:c>
      <x:c r="AK56" s="13" t="str">
        <x:f>IF(AE56&lt;&gt;"纳入","",IF(OR(O56="超时",AA56&gt;AH56),1,0))</x:f>
      </x:c>
    </x:row>
    <x:row r="57" ht="25" customHeight="1">
      <x:c r="A57" s="13" t="str">
        <x:v>F05-R1-TR</x:v>
      </x:c>
      <x:c r="B57" s="13" t="str">
        <x:v>F05-R1</x:v>
      </x:c>
      <x:c r="C57" s="13" t="str">
        <x:v>F05</x:v>
      </x:c>
      <x:c r="D57" s="58" t="n">
        <x:v>1</x:v>
      </x:c>
      <x:c r="E57" s="13" t="str">
        <x:v>Trae</x:v>
      </x:c>
      <x:c r="F57" s="10"/>
      <x:c r="G57" s="56"/>
      <x:c r="H57" s="45"/>
      <x:c r="I57" s="45"/>
      <x:c r="J57" s="48"/>
      <x:c r="K57" s="48"/>
      <x:c r="L57" s="48"/>
      <x:c r="M57" s="56"/>
      <x:c r="N57" s="56"/>
      <x:c r="O57" s="10"/>
      <x:c r="P57" s="56"/>
      <x:c r="Q57" s="56"/>
      <x:c r="R57" s="56"/>
      <x:c r="S57" s="10"/>
      <x:c r="T57" s="10"/>
      <x:c r="U57" s="53"/>
      <x:c r="V57" s="10"/>
      <x:c r="W57" s="10"/>
      <x:c r="X57" s="10"/>
      <x:c r="Y57" s="10"/>
      <x:c r="Z57" s="13" t="str">
        <x:f>IF(INDEX('特性清单'!$B$7:$B$18,MATCH(C57,'特性清单'!$A$7:$A$18,0))="","",IF(INDEX('特性清单'!$H$7:$H$18,MATCH(C57,'特性清单'!$A$7:$A$18,0))="","",INDEX('特性清单'!$H$7:$H$18,MATCH(C57,'特性清单'!$A$7:$A$18,0))))</x:f>
      </x:c>
      <x:c r="AA57" s="50" t="str">
        <x:f>IF(AND(COUNT(H57:J57)=3,I57&gt;=H57,J57&gt;=0),ROUND((I57-H57)*1440-J57,2),"")</x:f>
      </x:c>
      <x:c r="AB57" s="51" t="str">
        <x:f>IF(AND(ISNUMBER(P57),ISNUMBER(Z57),Z57&gt;0,P57&gt;=0,P57&lt;=Z57),P57/Z57,"")</x:f>
      </x:c>
      <x:c r="AC57" s="51" t="str">
        <x:f>IF(AND(ISNUMBER(Q57),ISNUMBER(Z57),Z57&gt;0,Q57&gt;=0,Q57&lt;=Z57),Q57/Z57,"")</x:f>
      </x:c>
      <x:c r="AD57" s="13" t="str">
        <x:f>IF(AE57&lt;&gt;"纳入","",IF(AND(O57="完成",AC57=1,R57=0,S57="通过",T57="通过",AA57&lt;=AH57),1,0))</x:f>
      </x:c>
      <x:c r="AE57" s="13" t="str">
        <x:f>IF(O57="","待运行",IF(O57="进行中","进行中",IF(NOT(OR(O57="完成",O57="超时",O57="工具故障",O57="主动终止")),"需核对终态",IF(OR('试点设置'!$C$15&lt;&gt;"齐备",INDEX('特性清单'!$P$7:$P$18,MATCH(C57,'特性清单'!$A$7:$A$18,0))&lt;&gt;"齐备",D57&gt;INDEX('特性清单'!$K$7:$K$18,MATCH(C57,'特性清单'!$A$7:$A$18,0))),"待补齐试验设置",IF(NOT(AND(F57&lt;&gt;"",COUNT(G57:N57)=8,COUNT(P57:R57)=3,S57&lt;&gt;"",T57&lt;&gt;"",V57&lt;&gt;"",X57&lt;&gt;"",Y57&lt;&gt;"",AI57&lt;&gt;"")),"待补齐记录",IF(NOT(AND(G57&gt;=1,G57&lt;=4,MOD(G57,1)=0,I57&gt;=H57,MIN(J57:N57)&gt;=0,MOD(M57,1)=0,MOD(N57,1)=0,AA57&gt;=0,K57&lt;=AA57,L57&lt;=K57,MIN(P57:R57)&gt;=0,MOD(P57,1)=0,MOD(Q57,1)=0,MOD(R57,1)=0,P57&lt;=Z57,Q57&lt;=Z57,OR(S57="通过",S57="失败",S57="未完成"),OR(T57="通过",T57="失败",T57="未完成"),OR(AI57="新手",AI57="偶尔使用",AI57="经常使用"),COUNTIFS($A$7:$A$150,A57)=1)),"需核对数值或ID",IF(OR(AND(O57&lt;&gt;"完成",W57=""),AND(J57&gt;0,W57=""),AND(V57&lt;&gt;"一致",W57="")),"待说明原因",IF(V57&lt;&gt;"一致","条件偏差","纳入"))))))))</x:f>
        <x:v>待运行</x:v>
      </x:c>
      <x:c r="AF57" s="13" t="n">
        <x:f>IF(AE57&lt;&gt;"纳入",0,INDEX('配对比较'!$J$7:$J$42,MATCH(B57,'配对比较'!$A$7:$A$42,0)))</x:f>
        <x:v>0</x:v>
      </x:c>
      <x:c r="AG57" s="13" t="n">
        <x:f>IF(AE57&lt;&gt;"纳入",0,INDEX('配对比较'!$L$7:$L$42,MATCH(B57,'配对比较'!$A$7:$A$42,0)))</x:f>
        <x:v>0</x:v>
      </x:c>
      <x:c r="AH57" s="13" t="str">
        <x:f>IF(INDEX('特性清单'!$B$7:$B$18,MATCH(C57,'特性清单'!$A$7:$A$18,0))="","",IF(INDEX('特性清单'!$J$7:$J$18,MATCH(C57,'特性清单'!$A$7:$A$18,0))="","",INDEX('特性清单'!$J$7:$J$18,MATCH(C57,'特性清单'!$A$7:$A$18,0))))</x:f>
      </x:c>
      <x:c r="AI57" s="10"/>
      <x:c r="AJ57" s="13" t="n">
        <x:f>IF(AND(ISNUMBER(U57),U57&gt;=0),1,0)</x:f>
        <x:v>0</x:v>
      </x:c>
      <x:c r="AK57" s="13" t="str">
        <x:f>IF(AE57&lt;&gt;"纳入","",IF(OR(O57="超时",AA57&gt;AH57),1,0))</x:f>
      </x:c>
    </x:row>
    <x:row r="58" ht="25" customHeight="1">
      <x:c r="A58" s="13" t="str">
        <x:v>F05-R1-CA</x:v>
      </x:c>
      <x:c r="B58" s="13" t="str">
        <x:v>F05-R1</x:v>
      </x:c>
      <x:c r="C58" s="13" t="str">
        <x:v>F05</x:v>
      </x:c>
      <x:c r="D58" s="58" t="n">
        <x:v>1</x:v>
      </x:c>
      <x:c r="E58" s="13" t="str">
        <x:v>CodeArts</x:v>
      </x:c>
      <x:c r="F58" s="10"/>
      <x:c r="G58" s="56"/>
      <x:c r="H58" s="45"/>
      <x:c r="I58" s="45"/>
      <x:c r="J58" s="48"/>
      <x:c r="K58" s="48"/>
      <x:c r="L58" s="48"/>
      <x:c r="M58" s="56"/>
      <x:c r="N58" s="56"/>
      <x:c r="O58" s="10"/>
      <x:c r="P58" s="56"/>
      <x:c r="Q58" s="56"/>
      <x:c r="R58" s="56"/>
      <x:c r="S58" s="10"/>
      <x:c r="T58" s="10"/>
      <x:c r="U58" s="53"/>
      <x:c r="V58" s="10"/>
      <x:c r="W58" s="10"/>
      <x:c r="X58" s="10"/>
      <x:c r="Y58" s="10"/>
      <x:c r="Z58" s="13" t="str">
        <x:f>IF(INDEX('特性清单'!$B$7:$B$18,MATCH(C58,'特性清单'!$A$7:$A$18,0))="","",IF(INDEX('特性清单'!$H$7:$H$18,MATCH(C58,'特性清单'!$A$7:$A$18,0))="","",INDEX('特性清单'!$H$7:$H$18,MATCH(C58,'特性清单'!$A$7:$A$18,0))))</x:f>
      </x:c>
      <x:c r="AA58" s="50" t="str">
        <x:f>IF(AND(COUNT(H58:J58)=3,I58&gt;=H58,J58&gt;=0),ROUND((I58-H58)*1440-J58,2),"")</x:f>
      </x:c>
      <x:c r="AB58" s="51" t="str">
        <x:f>IF(AND(ISNUMBER(P58),ISNUMBER(Z58),Z58&gt;0,P58&gt;=0,P58&lt;=Z58),P58/Z58,"")</x:f>
      </x:c>
      <x:c r="AC58" s="51" t="str">
        <x:f>IF(AND(ISNUMBER(Q58),ISNUMBER(Z58),Z58&gt;0,Q58&gt;=0,Q58&lt;=Z58),Q58/Z58,"")</x:f>
      </x:c>
      <x:c r="AD58" s="13" t="str">
        <x:f>IF(AE58&lt;&gt;"纳入","",IF(AND(O58="完成",AC58=1,R58=0,S58="通过",T58="通过",AA58&lt;=AH58),1,0))</x:f>
      </x:c>
      <x:c r="AE58" s="13" t="str">
        <x:f>IF(O58="","待运行",IF(O58="进行中","进行中",IF(NOT(OR(O58="完成",O58="超时",O58="工具故障",O58="主动终止")),"需核对终态",IF(OR('试点设置'!$C$15&lt;&gt;"齐备",INDEX('特性清单'!$P$7:$P$18,MATCH(C58,'特性清单'!$A$7:$A$18,0))&lt;&gt;"齐备",D58&gt;INDEX('特性清单'!$K$7:$K$18,MATCH(C58,'特性清单'!$A$7:$A$18,0))),"待补齐试验设置",IF(NOT(AND(F58&lt;&gt;"",COUNT(G58:N58)=8,COUNT(P58:R58)=3,S58&lt;&gt;"",T58&lt;&gt;"",V58&lt;&gt;"",X58&lt;&gt;"",Y58&lt;&gt;"",AI58&lt;&gt;"")),"待补齐记录",IF(NOT(AND(G58&gt;=1,G58&lt;=4,MOD(G58,1)=0,I58&gt;=H58,MIN(J58:N58)&gt;=0,MOD(M58,1)=0,MOD(N58,1)=0,AA58&gt;=0,K58&lt;=AA58,L58&lt;=K58,MIN(P58:R58)&gt;=0,MOD(P58,1)=0,MOD(Q58,1)=0,MOD(R58,1)=0,P58&lt;=Z58,Q58&lt;=Z58,OR(S58="通过",S58="失败",S58="未完成"),OR(T58="通过",T58="失败",T58="未完成"),OR(AI58="新手",AI58="偶尔使用",AI58="经常使用"),COUNTIFS($A$7:$A$150,A58)=1)),"需核对数值或ID",IF(OR(AND(O58&lt;&gt;"完成",W58=""),AND(J58&gt;0,W58=""),AND(V58&lt;&gt;"一致",W58="")),"待说明原因",IF(V58&lt;&gt;"一致","条件偏差","纳入"))))))))</x:f>
        <x:v>待运行</x:v>
      </x:c>
      <x:c r="AF58" s="13" t="n">
        <x:f>IF(AE58&lt;&gt;"纳入",0,INDEX('配对比较'!$J$7:$J$42,MATCH(B58,'配对比较'!$A$7:$A$42,0)))</x:f>
        <x:v>0</x:v>
      </x:c>
      <x:c r="AG58" s="13" t="n">
        <x:f>IF(AE58&lt;&gt;"纳入",0,INDEX('配对比较'!$L$7:$L$42,MATCH(B58,'配对比较'!$A$7:$A$42,0)))</x:f>
        <x:v>0</x:v>
      </x:c>
      <x:c r="AH58" s="13" t="str">
        <x:f>IF(INDEX('特性清单'!$B$7:$B$18,MATCH(C58,'特性清单'!$A$7:$A$18,0))="","",IF(INDEX('特性清单'!$J$7:$J$18,MATCH(C58,'特性清单'!$A$7:$A$18,0))="","",INDEX('特性清单'!$J$7:$J$18,MATCH(C58,'特性清单'!$A$7:$A$18,0))))</x:f>
      </x:c>
      <x:c r="AI58" s="10"/>
      <x:c r="AJ58" s="13" t="n">
        <x:f>IF(AND(ISNUMBER(U58),U58&gt;=0),1,0)</x:f>
        <x:v>0</x:v>
      </x:c>
      <x:c r="AK58" s="13" t="str">
        <x:f>IF(AE58&lt;&gt;"纳入","",IF(OR(O58="超时",AA58&gt;AH58),1,0))</x:f>
      </x:c>
    </x:row>
    <x:row r="59" ht="25" customHeight="1">
      <x:c r="A59" s="13" t="str">
        <x:v>F05-R2-CC</x:v>
      </x:c>
      <x:c r="B59" s="13" t="str">
        <x:v>F05-R2</x:v>
      </x:c>
      <x:c r="C59" s="13" t="str">
        <x:v>F05</x:v>
      </x:c>
      <x:c r="D59" s="58" t="n">
        <x:v>2</x:v>
      </x:c>
      <x:c r="E59" s="13" t="str">
        <x:v>Claude Code</x:v>
      </x:c>
      <x:c r="F59" s="10"/>
      <x:c r="G59" s="56"/>
      <x:c r="H59" s="45"/>
      <x:c r="I59" s="45"/>
      <x:c r="J59" s="48"/>
      <x:c r="K59" s="48"/>
      <x:c r="L59" s="48"/>
      <x:c r="M59" s="56"/>
      <x:c r="N59" s="56"/>
      <x:c r="O59" s="10"/>
      <x:c r="P59" s="56"/>
      <x:c r="Q59" s="56"/>
      <x:c r="R59" s="56"/>
      <x:c r="S59" s="10"/>
      <x:c r="T59" s="10"/>
      <x:c r="U59" s="53"/>
      <x:c r="V59" s="10"/>
      <x:c r="W59" s="10"/>
      <x:c r="X59" s="10"/>
      <x:c r="Y59" s="10"/>
      <x:c r="Z59" s="13" t="str">
        <x:f>IF(INDEX('特性清单'!$B$7:$B$18,MATCH(C59,'特性清单'!$A$7:$A$18,0))="","",IF(INDEX('特性清单'!$H$7:$H$18,MATCH(C59,'特性清单'!$A$7:$A$18,0))="","",INDEX('特性清单'!$H$7:$H$18,MATCH(C59,'特性清单'!$A$7:$A$18,0))))</x:f>
      </x:c>
      <x:c r="AA59" s="50" t="str">
        <x:f>IF(AND(COUNT(H59:J59)=3,I59&gt;=H59,J59&gt;=0),ROUND((I59-H59)*1440-J59,2),"")</x:f>
      </x:c>
      <x:c r="AB59" s="51" t="str">
        <x:f>IF(AND(ISNUMBER(P59),ISNUMBER(Z59),Z59&gt;0,P59&gt;=0,P59&lt;=Z59),P59/Z59,"")</x:f>
      </x:c>
      <x:c r="AC59" s="51" t="str">
        <x:f>IF(AND(ISNUMBER(Q59),ISNUMBER(Z59),Z59&gt;0,Q59&gt;=0,Q59&lt;=Z59),Q59/Z59,"")</x:f>
      </x:c>
      <x:c r="AD59" s="13" t="str">
        <x:f>IF(AE59&lt;&gt;"纳入","",IF(AND(O59="完成",AC59=1,R59=0,S59="通过",T59="通过",AA59&lt;=AH59),1,0))</x:f>
      </x:c>
      <x:c r="AE59" s="13" t="str">
        <x:f>IF(O59="","待运行",IF(O59="进行中","进行中",IF(NOT(OR(O59="完成",O59="超时",O59="工具故障",O59="主动终止")),"需核对终态",IF(OR('试点设置'!$C$15&lt;&gt;"齐备",INDEX('特性清单'!$P$7:$P$18,MATCH(C59,'特性清单'!$A$7:$A$18,0))&lt;&gt;"齐备",D59&gt;INDEX('特性清单'!$K$7:$K$18,MATCH(C59,'特性清单'!$A$7:$A$18,0))),"待补齐试验设置",IF(NOT(AND(F59&lt;&gt;"",COUNT(G59:N59)=8,COUNT(P59:R59)=3,S59&lt;&gt;"",T59&lt;&gt;"",V59&lt;&gt;"",X59&lt;&gt;"",Y59&lt;&gt;"",AI59&lt;&gt;"")),"待补齐记录",IF(NOT(AND(G59&gt;=1,G59&lt;=4,MOD(G59,1)=0,I59&gt;=H59,MIN(J59:N59)&gt;=0,MOD(M59,1)=0,MOD(N59,1)=0,AA59&gt;=0,K59&lt;=AA59,L59&lt;=K59,MIN(P59:R59)&gt;=0,MOD(P59,1)=0,MOD(Q59,1)=0,MOD(R59,1)=0,P59&lt;=Z59,Q59&lt;=Z59,OR(S59="通过",S59="失败",S59="未完成"),OR(T59="通过",T59="失败",T59="未完成"),OR(AI59="新手",AI59="偶尔使用",AI59="经常使用"),COUNTIFS($A$7:$A$150,A59)=1)),"需核对数值或ID",IF(OR(AND(O59&lt;&gt;"完成",W59=""),AND(J59&gt;0,W59=""),AND(V59&lt;&gt;"一致",W59="")),"待说明原因",IF(V59&lt;&gt;"一致","条件偏差","纳入"))))))))</x:f>
        <x:v>待运行</x:v>
      </x:c>
      <x:c r="AF59" s="13" t="n">
        <x:f>IF(AE59&lt;&gt;"纳入",0,INDEX('配对比较'!$J$7:$J$42,MATCH(B59,'配对比较'!$A$7:$A$42,0)))</x:f>
        <x:v>0</x:v>
      </x:c>
      <x:c r="AG59" s="13" t="n">
        <x:f>IF(AE59&lt;&gt;"纳入",0,INDEX('配对比较'!$L$7:$L$42,MATCH(B59,'配对比较'!$A$7:$A$42,0)))</x:f>
        <x:v>0</x:v>
      </x:c>
      <x:c r="AH59" s="13" t="str">
        <x:f>IF(INDEX('特性清单'!$B$7:$B$18,MATCH(C59,'特性清单'!$A$7:$A$18,0))="","",IF(INDEX('特性清单'!$J$7:$J$18,MATCH(C59,'特性清单'!$A$7:$A$18,0))="","",INDEX('特性清单'!$J$7:$J$18,MATCH(C59,'特性清单'!$A$7:$A$18,0))))</x:f>
      </x:c>
      <x:c r="AI59" s="10"/>
      <x:c r="AJ59" s="13" t="n">
        <x:f>IF(AND(ISNUMBER(U59),U59&gt;=0),1,0)</x:f>
        <x:v>0</x:v>
      </x:c>
      <x:c r="AK59" s="13" t="str">
        <x:f>IF(AE59&lt;&gt;"纳入","",IF(OR(O59="超时",AA59&gt;AH59),1,0))</x:f>
      </x:c>
    </x:row>
    <x:row r="60" ht="25" customHeight="1">
      <x:c r="A60" s="13" t="str">
        <x:v>F05-R2-CX</x:v>
      </x:c>
      <x:c r="B60" s="13" t="str">
        <x:v>F05-R2</x:v>
      </x:c>
      <x:c r="C60" s="13" t="str">
        <x:v>F05</x:v>
      </x:c>
      <x:c r="D60" s="58" t="n">
        <x:v>2</x:v>
      </x:c>
      <x:c r="E60" s="13" t="str">
        <x:v>Codex</x:v>
      </x:c>
      <x:c r="F60" s="10"/>
      <x:c r="G60" s="56"/>
      <x:c r="H60" s="45"/>
      <x:c r="I60" s="45"/>
      <x:c r="J60" s="48"/>
      <x:c r="K60" s="48"/>
      <x:c r="L60" s="48"/>
      <x:c r="M60" s="56"/>
      <x:c r="N60" s="56"/>
      <x:c r="O60" s="10"/>
      <x:c r="P60" s="56"/>
      <x:c r="Q60" s="56"/>
      <x:c r="R60" s="56"/>
      <x:c r="S60" s="10"/>
      <x:c r="T60" s="10"/>
      <x:c r="U60" s="53"/>
      <x:c r="V60" s="10"/>
      <x:c r="W60" s="10"/>
      <x:c r="X60" s="10"/>
      <x:c r="Y60" s="10"/>
      <x:c r="Z60" s="13" t="str">
        <x:f>IF(INDEX('特性清单'!$B$7:$B$18,MATCH(C60,'特性清单'!$A$7:$A$18,0))="","",IF(INDEX('特性清单'!$H$7:$H$18,MATCH(C60,'特性清单'!$A$7:$A$18,0))="","",INDEX('特性清单'!$H$7:$H$18,MATCH(C60,'特性清单'!$A$7:$A$18,0))))</x:f>
      </x:c>
      <x:c r="AA60" s="50" t="str">
        <x:f>IF(AND(COUNT(H60:J60)=3,I60&gt;=H60,J60&gt;=0),ROUND((I60-H60)*1440-J60,2),"")</x:f>
      </x:c>
      <x:c r="AB60" s="51" t="str">
        <x:f>IF(AND(ISNUMBER(P60),ISNUMBER(Z60),Z60&gt;0,P60&gt;=0,P60&lt;=Z60),P60/Z60,"")</x:f>
      </x:c>
      <x:c r="AC60" s="51" t="str">
        <x:f>IF(AND(ISNUMBER(Q60),ISNUMBER(Z60),Z60&gt;0,Q60&gt;=0,Q60&lt;=Z60),Q60/Z60,"")</x:f>
      </x:c>
      <x:c r="AD60" s="13" t="str">
        <x:f>IF(AE60&lt;&gt;"纳入","",IF(AND(O60="完成",AC60=1,R60=0,S60="通过",T60="通过",AA60&lt;=AH60),1,0))</x:f>
      </x:c>
      <x:c r="AE60" s="13" t="str">
        <x:f>IF(O60="","待运行",IF(O60="进行中","进行中",IF(NOT(OR(O60="完成",O60="超时",O60="工具故障",O60="主动终止")),"需核对终态",IF(OR('试点设置'!$C$15&lt;&gt;"齐备",INDEX('特性清单'!$P$7:$P$18,MATCH(C60,'特性清单'!$A$7:$A$18,0))&lt;&gt;"齐备",D60&gt;INDEX('特性清单'!$K$7:$K$18,MATCH(C60,'特性清单'!$A$7:$A$18,0))),"待补齐试验设置",IF(NOT(AND(F60&lt;&gt;"",COUNT(G60:N60)=8,COUNT(P60:R60)=3,S60&lt;&gt;"",T60&lt;&gt;"",V60&lt;&gt;"",X60&lt;&gt;"",Y60&lt;&gt;"",AI60&lt;&gt;"")),"待补齐记录",IF(NOT(AND(G60&gt;=1,G60&lt;=4,MOD(G60,1)=0,I60&gt;=H60,MIN(J60:N60)&gt;=0,MOD(M60,1)=0,MOD(N60,1)=0,AA60&gt;=0,K60&lt;=AA60,L60&lt;=K60,MIN(P60:R60)&gt;=0,MOD(P60,1)=0,MOD(Q60,1)=0,MOD(R60,1)=0,P60&lt;=Z60,Q60&lt;=Z60,OR(S60="通过",S60="失败",S60="未完成"),OR(T60="通过",T60="失败",T60="未完成"),OR(AI60="新手",AI60="偶尔使用",AI60="经常使用"),COUNTIFS($A$7:$A$150,A60)=1)),"需核对数值或ID",IF(OR(AND(O60&lt;&gt;"完成",W60=""),AND(J60&gt;0,W60=""),AND(V60&lt;&gt;"一致",W60="")),"待说明原因",IF(V60&lt;&gt;"一致","条件偏差","纳入"))))))))</x:f>
        <x:v>待运行</x:v>
      </x:c>
      <x:c r="AF60" s="13" t="n">
        <x:f>IF(AE60&lt;&gt;"纳入",0,INDEX('配对比较'!$J$7:$J$42,MATCH(B60,'配对比较'!$A$7:$A$42,0)))</x:f>
        <x:v>0</x:v>
      </x:c>
      <x:c r="AG60" s="13" t="n">
        <x:f>IF(AE60&lt;&gt;"纳入",0,INDEX('配对比较'!$L$7:$L$42,MATCH(B60,'配对比较'!$A$7:$A$42,0)))</x:f>
        <x:v>0</x:v>
      </x:c>
      <x:c r="AH60" s="13" t="str">
        <x:f>IF(INDEX('特性清单'!$B$7:$B$18,MATCH(C60,'特性清单'!$A$7:$A$18,0))="","",IF(INDEX('特性清单'!$J$7:$J$18,MATCH(C60,'特性清单'!$A$7:$A$18,0))="","",INDEX('特性清单'!$J$7:$J$18,MATCH(C60,'特性清单'!$A$7:$A$18,0))))</x:f>
      </x:c>
      <x:c r="AI60" s="10"/>
      <x:c r="AJ60" s="13" t="n">
        <x:f>IF(AND(ISNUMBER(U60),U60&gt;=0),1,0)</x:f>
        <x:v>0</x:v>
      </x:c>
      <x:c r="AK60" s="13" t="str">
        <x:f>IF(AE60&lt;&gt;"纳入","",IF(OR(O60="超时",AA60&gt;AH60),1,0))</x:f>
      </x:c>
    </x:row>
    <x:row r="61" ht="25" customHeight="1">
      <x:c r="A61" s="13" t="str">
        <x:v>F05-R2-TR</x:v>
      </x:c>
      <x:c r="B61" s="13" t="str">
        <x:v>F05-R2</x:v>
      </x:c>
      <x:c r="C61" s="13" t="str">
        <x:v>F05</x:v>
      </x:c>
      <x:c r="D61" s="58" t="n">
        <x:v>2</x:v>
      </x:c>
      <x:c r="E61" s="13" t="str">
        <x:v>Trae</x:v>
      </x:c>
      <x:c r="F61" s="10"/>
      <x:c r="G61" s="56"/>
      <x:c r="H61" s="45"/>
      <x:c r="I61" s="45"/>
      <x:c r="J61" s="48"/>
      <x:c r="K61" s="48"/>
      <x:c r="L61" s="48"/>
      <x:c r="M61" s="56"/>
      <x:c r="N61" s="56"/>
      <x:c r="O61" s="10"/>
      <x:c r="P61" s="56"/>
      <x:c r="Q61" s="56"/>
      <x:c r="R61" s="56"/>
      <x:c r="S61" s="10"/>
      <x:c r="T61" s="10"/>
      <x:c r="U61" s="53"/>
      <x:c r="V61" s="10"/>
      <x:c r="W61" s="10"/>
      <x:c r="X61" s="10"/>
      <x:c r="Y61" s="10"/>
      <x:c r="Z61" s="13" t="str">
        <x:f>IF(INDEX('特性清单'!$B$7:$B$18,MATCH(C61,'特性清单'!$A$7:$A$18,0))="","",IF(INDEX('特性清单'!$H$7:$H$18,MATCH(C61,'特性清单'!$A$7:$A$18,0))="","",INDEX('特性清单'!$H$7:$H$18,MATCH(C61,'特性清单'!$A$7:$A$18,0))))</x:f>
      </x:c>
      <x:c r="AA61" s="50" t="str">
        <x:f>IF(AND(COUNT(H61:J61)=3,I61&gt;=H61,J61&gt;=0),ROUND((I61-H61)*1440-J61,2),"")</x:f>
      </x:c>
      <x:c r="AB61" s="51" t="str">
        <x:f>IF(AND(ISNUMBER(P61),ISNUMBER(Z61),Z61&gt;0,P61&gt;=0,P61&lt;=Z61),P61/Z61,"")</x:f>
      </x:c>
      <x:c r="AC61" s="51" t="str">
        <x:f>IF(AND(ISNUMBER(Q61),ISNUMBER(Z61),Z61&gt;0,Q61&gt;=0,Q61&lt;=Z61),Q61/Z61,"")</x:f>
      </x:c>
      <x:c r="AD61" s="13" t="str">
        <x:f>IF(AE61&lt;&gt;"纳入","",IF(AND(O61="完成",AC61=1,R61=0,S61="通过",T61="通过",AA61&lt;=AH61),1,0))</x:f>
      </x:c>
      <x:c r="AE61" s="13" t="str">
        <x:f>IF(O61="","待运行",IF(O61="进行中","进行中",IF(NOT(OR(O61="完成",O61="超时",O61="工具故障",O61="主动终止")),"需核对终态",IF(OR('试点设置'!$C$15&lt;&gt;"齐备",INDEX('特性清单'!$P$7:$P$18,MATCH(C61,'特性清单'!$A$7:$A$18,0))&lt;&gt;"齐备",D61&gt;INDEX('特性清单'!$K$7:$K$18,MATCH(C61,'特性清单'!$A$7:$A$18,0))),"待补齐试验设置",IF(NOT(AND(F61&lt;&gt;"",COUNT(G61:N61)=8,COUNT(P61:R61)=3,S61&lt;&gt;"",T61&lt;&gt;"",V61&lt;&gt;"",X61&lt;&gt;"",Y61&lt;&gt;"",AI61&lt;&gt;"")),"待补齐记录",IF(NOT(AND(G61&gt;=1,G61&lt;=4,MOD(G61,1)=0,I61&gt;=H61,MIN(J61:N61)&gt;=0,MOD(M61,1)=0,MOD(N61,1)=0,AA61&gt;=0,K61&lt;=AA61,L61&lt;=K61,MIN(P61:R61)&gt;=0,MOD(P61,1)=0,MOD(Q61,1)=0,MOD(R61,1)=0,P61&lt;=Z61,Q61&lt;=Z61,OR(S61="通过",S61="失败",S61="未完成"),OR(T61="通过",T61="失败",T61="未完成"),OR(AI61="新手",AI61="偶尔使用",AI61="经常使用"),COUNTIFS($A$7:$A$150,A61)=1)),"需核对数值或ID",IF(OR(AND(O61&lt;&gt;"完成",W61=""),AND(J61&gt;0,W61=""),AND(V61&lt;&gt;"一致",W61="")),"待说明原因",IF(V61&lt;&gt;"一致","条件偏差","纳入"))))))))</x:f>
        <x:v>待运行</x:v>
      </x:c>
      <x:c r="AF61" s="13" t="n">
        <x:f>IF(AE61&lt;&gt;"纳入",0,INDEX('配对比较'!$J$7:$J$42,MATCH(B61,'配对比较'!$A$7:$A$42,0)))</x:f>
        <x:v>0</x:v>
      </x:c>
      <x:c r="AG61" s="13" t="n">
        <x:f>IF(AE61&lt;&gt;"纳入",0,INDEX('配对比较'!$L$7:$L$42,MATCH(B61,'配对比较'!$A$7:$A$42,0)))</x:f>
        <x:v>0</x:v>
      </x:c>
      <x:c r="AH61" s="13" t="str">
        <x:f>IF(INDEX('特性清单'!$B$7:$B$18,MATCH(C61,'特性清单'!$A$7:$A$18,0))="","",IF(INDEX('特性清单'!$J$7:$J$18,MATCH(C61,'特性清单'!$A$7:$A$18,0))="","",INDEX('特性清单'!$J$7:$J$18,MATCH(C61,'特性清单'!$A$7:$A$18,0))))</x:f>
      </x:c>
      <x:c r="AI61" s="10"/>
      <x:c r="AJ61" s="13" t="n">
        <x:f>IF(AND(ISNUMBER(U61),U61&gt;=0),1,0)</x:f>
        <x:v>0</x:v>
      </x:c>
      <x:c r="AK61" s="13" t="str">
        <x:f>IF(AE61&lt;&gt;"纳入","",IF(OR(O61="超时",AA61&gt;AH61),1,0))</x:f>
      </x:c>
    </x:row>
    <x:row r="62" ht="25" customHeight="1">
      <x:c r="A62" s="13" t="str">
        <x:v>F05-R2-CA</x:v>
      </x:c>
      <x:c r="B62" s="13" t="str">
        <x:v>F05-R2</x:v>
      </x:c>
      <x:c r="C62" s="13" t="str">
        <x:v>F05</x:v>
      </x:c>
      <x:c r="D62" s="58" t="n">
        <x:v>2</x:v>
      </x:c>
      <x:c r="E62" s="13" t="str">
        <x:v>CodeArts</x:v>
      </x:c>
      <x:c r="F62" s="10"/>
      <x:c r="G62" s="56"/>
      <x:c r="H62" s="45"/>
      <x:c r="I62" s="45"/>
      <x:c r="J62" s="48"/>
      <x:c r="K62" s="48"/>
      <x:c r="L62" s="48"/>
      <x:c r="M62" s="56"/>
      <x:c r="N62" s="56"/>
      <x:c r="O62" s="10"/>
      <x:c r="P62" s="56"/>
      <x:c r="Q62" s="56"/>
      <x:c r="R62" s="56"/>
      <x:c r="S62" s="10"/>
      <x:c r="T62" s="10"/>
      <x:c r="U62" s="53"/>
      <x:c r="V62" s="10"/>
      <x:c r="W62" s="10"/>
      <x:c r="X62" s="10"/>
      <x:c r="Y62" s="10"/>
      <x:c r="Z62" s="13" t="str">
        <x:f>IF(INDEX('特性清单'!$B$7:$B$18,MATCH(C62,'特性清单'!$A$7:$A$18,0))="","",IF(INDEX('特性清单'!$H$7:$H$18,MATCH(C62,'特性清单'!$A$7:$A$18,0))="","",INDEX('特性清单'!$H$7:$H$18,MATCH(C62,'特性清单'!$A$7:$A$18,0))))</x:f>
      </x:c>
      <x:c r="AA62" s="50" t="str">
        <x:f>IF(AND(COUNT(H62:J62)=3,I62&gt;=H62,J62&gt;=0),ROUND((I62-H62)*1440-J62,2),"")</x:f>
      </x:c>
      <x:c r="AB62" s="51" t="str">
        <x:f>IF(AND(ISNUMBER(P62),ISNUMBER(Z62),Z62&gt;0,P62&gt;=0,P62&lt;=Z62),P62/Z62,"")</x:f>
      </x:c>
      <x:c r="AC62" s="51" t="str">
        <x:f>IF(AND(ISNUMBER(Q62),ISNUMBER(Z62),Z62&gt;0,Q62&gt;=0,Q62&lt;=Z62),Q62/Z62,"")</x:f>
      </x:c>
      <x:c r="AD62" s="13" t="str">
        <x:f>IF(AE62&lt;&gt;"纳入","",IF(AND(O62="完成",AC62=1,R62=0,S62="通过",T62="通过",AA62&lt;=AH62),1,0))</x:f>
      </x:c>
      <x:c r="AE62" s="13" t="str">
        <x:f>IF(O62="","待运行",IF(O62="进行中","进行中",IF(NOT(OR(O62="完成",O62="超时",O62="工具故障",O62="主动终止")),"需核对终态",IF(OR('试点设置'!$C$15&lt;&gt;"齐备",INDEX('特性清单'!$P$7:$P$18,MATCH(C62,'特性清单'!$A$7:$A$18,0))&lt;&gt;"齐备",D62&gt;INDEX('特性清单'!$K$7:$K$18,MATCH(C62,'特性清单'!$A$7:$A$18,0))),"待补齐试验设置",IF(NOT(AND(F62&lt;&gt;"",COUNT(G62:N62)=8,COUNT(P62:R62)=3,S62&lt;&gt;"",T62&lt;&gt;"",V62&lt;&gt;"",X62&lt;&gt;"",Y62&lt;&gt;"",AI62&lt;&gt;"")),"待补齐记录",IF(NOT(AND(G62&gt;=1,G62&lt;=4,MOD(G62,1)=0,I62&gt;=H62,MIN(J62:N62)&gt;=0,MOD(M62,1)=0,MOD(N62,1)=0,AA62&gt;=0,K62&lt;=AA62,L62&lt;=K62,MIN(P62:R62)&gt;=0,MOD(P62,1)=0,MOD(Q62,1)=0,MOD(R62,1)=0,P62&lt;=Z62,Q62&lt;=Z62,OR(S62="通过",S62="失败",S62="未完成"),OR(T62="通过",T62="失败",T62="未完成"),OR(AI62="新手",AI62="偶尔使用",AI62="经常使用"),COUNTIFS($A$7:$A$150,A62)=1)),"需核对数值或ID",IF(OR(AND(O62&lt;&gt;"完成",W62=""),AND(J62&gt;0,W62=""),AND(V62&lt;&gt;"一致",W62="")),"待说明原因",IF(V62&lt;&gt;"一致","条件偏差","纳入"))))))))</x:f>
        <x:v>待运行</x:v>
      </x:c>
      <x:c r="AF62" s="13" t="n">
        <x:f>IF(AE62&lt;&gt;"纳入",0,INDEX('配对比较'!$J$7:$J$42,MATCH(B62,'配对比较'!$A$7:$A$42,0)))</x:f>
        <x:v>0</x:v>
      </x:c>
      <x:c r="AG62" s="13" t="n">
        <x:f>IF(AE62&lt;&gt;"纳入",0,INDEX('配对比较'!$L$7:$L$42,MATCH(B62,'配对比较'!$A$7:$A$42,0)))</x:f>
        <x:v>0</x:v>
      </x:c>
      <x:c r="AH62" s="13" t="str">
        <x:f>IF(INDEX('特性清单'!$B$7:$B$18,MATCH(C62,'特性清单'!$A$7:$A$18,0))="","",IF(INDEX('特性清单'!$J$7:$J$18,MATCH(C62,'特性清单'!$A$7:$A$18,0))="","",INDEX('特性清单'!$J$7:$J$18,MATCH(C62,'特性清单'!$A$7:$A$18,0))))</x:f>
      </x:c>
      <x:c r="AI62" s="10"/>
      <x:c r="AJ62" s="13" t="n">
        <x:f>IF(AND(ISNUMBER(U62),U62&gt;=0),1,0)</x:f>
        <x:v>0</x:v>
      </x:c>
      <x:c r="AK62" s="13" t="str">
        <x:f>IF(AE62&lt;&gt;"纳入","",IF(OR(O62="超时",AA62&gt;AH62),1,0))</x:f>
      </x:c>
    </x:row>
    <x:row r="63" ht="25" customHeight="1">
      <x:c r="A63" s="13" t="str">
        <x:v>F05-R3-CC</x:v>
      </x:c>
      <x:c r="B63" s="13" t="str">
        <x:v>F05-R3</x:v>
      </x:c>
      <x:c r="C63" s="13" t="str">
        <x:v>F05</x:v>
      </x:c>
      <x:c r="D63" s="58" t="n">
        <x:v>3</x:v>
      </x:c>
      <x:c r="E63" s="13" t="str">
        <x:v>Claude Code</x:v>
      </x:c>
      <x:c r="F63" s="10"/>
      <x:c r="G63" s="56"/>
      <x:c r="H63" s="45"/>
      <x:c r="I63" s="45"/>
      <x:c r="J63" s="48"/>
      <x:c r="K63" s="48"/>
      <x:c r="L63" s="48"/>
      <x:c r="M63" s="56"/>
      <x:c r="N63" s="56"/>
      <x:c r="O63" s="10"/>
      <x:c r="P63" s="56"/>
      <x:c r="Q63" s="56"/>
      <x:c r="R63" s="56"/>
      <x:c r="S63" s="10"/>
      <x:c r="T63" s="10"/>
      <x:c r="U63" s="53"/>
      <x:c r="V63" s="10"/>
      <x:c r="W63" s="10"/>
      <x:c r="X63" s="10"/>
      <x:c r="Y63" s="10"/>
      <x:c r="Z63" s="13" t="str">
        <x:f>IF(INDEX('特性清单'!$B$7:$B$18,MATCH(C63,'特性清单'!$A$7:$A$18,0))="","",IF(INDEX('特性清单'!$H$7:$H$18,MATCH(C63,'特性清单'!$A$7:$A$18,0))="","",INDEX('特性清单'!$H$7:$H$18,MATCH(C63,'特性清单'!$A$7:$A$18,0))))</x:f>
      </x:c>
      <x:c r="AA63" s="50" t="str">
        <x:f>IF(AND(COUNT(H63:J63)=3,I63&gt;=H63,J63&gt;=0),ROUND((I63-H63)*1440-J63,2),"")</x:f>
      </x:c>
      <x:c r="AB63" s="51" t="str">
        <x:f>IF(AND(ISNUMBER(P63),ISNUMBER(Z63),Z63&gt;0,P63&gt;=0,P63&lt;=Z63),P63/Z63,"")</x:f>
      </x:c>
      <x:c r="AC63" s="51" t="str">
        <x:f>IF(AND(ISNUMBER(Q63),ISNUMBER(Z63),Z63&gt;0,Q63&gt;=0,Q63&lt;=Z63),Q63/Z63,"")</x:f>
      </x:c>
      <x:c r="AD63" s="13" t="str">
        <x:f>IF(AE63&lt;&gt;"纳入","",IF(AND(O63="完成",AC63=1,R63=0,S63="通过",T63="通过",AA63&lt;=AH63),1,0))</x:f>
      </x:c>
      <x:c r="AE63" s="13" t="str">
        <x:f>IF(O63="","待运行",IF(O63="进行中","进行中",IF(NOT(OR(O63="完成",O63="超时",O63="工具故障",O63="主动终止")),"需核对终态",IF(OR('试点设置'!$C$15&lt;&gt;"齐备",INDEX('特性清单'!$P$7:$P$18,MATCH(C63,'特性清单'!$A$7:$A$18,0))&lt;&gt;"齐备",D63&gt;INDEX('特性清单'!$K$7:$K$18,MATCH(C63,'特性清单'!$A$7:$A$18,0))),"待补齐试验设置",IF(NOT(AND(F63&lt;&gt;"",COUNT(G63:N63)=8,COUNT(P63:R63)=3,S63&lt;&gt;"",T63&lt;&gt;"",V63&lt;&gt;"",X63&lt;&gt;"",Y63&lt;&gt;"",AI63&lt;&gt;"")),"待补齐记录",IF(NOT(AND(G63&gt;=1,G63&lt;=4,MOD(G63,1)=0,I63&gt;=H63,MIN(J63:N63)&gt;=0,MOD(M63,1)=0,MOD(N63,1)=0,AA63&gt;=0,K63&lt;=AA63,L63&lt;=K63,MIN(P63:R63)&gt;=0,MOD(P63,1)=0,MOD(Q63,1)=0,MOD(R63,1)=0,P63&lt;=Z63,Q63&lt;=Z63,OR(S63="通过",S63="失败",S63="未完成"),OR(T63="通过",T63="失败",T63="未完成"),OR(AI63="新手",AI63="偶尔使用",AI63="经常使用"),COUNTIFS($A$7:$A$150,A63)=1)),"需核对数值或ID",IF(OR(AND(O63&lt;&gt;"完成",W63=""),AND(J63&gt;0,W63=""),AND(V63&lt;&gt;"一致",W63="")),"待说明原因",IF(V63&lt;&gt;"一致","条件偏差","纳入"))))))))</x:f>
        <x:v>待运行</x:v>
      </x:c>
      <x:c r="AF63" s="13" t="n">
        <x:f>IF(AE63&lt;&gt;"纳入",0,INDEX('配对比较'!$J$7:$J$42,MATCH(B63,'配对比较'!$A$7:$A$42,0)))</x:f>
        <x:v>0</x:v>
      </x:c>
      <x:c r="AG63" s="13" t="n">
        <x:f>IF(AE63&lt;&gt;"纳入",0,INDEX('配对比较'!$L$7:$L$42,MATCH(B63,'配对比较'!$A$7:$A$42,0)))</x:f>
        <x:v>0</x:v>
      </x:c>
      <x:c r="AH63" s="13" t="str">
        <x:f>IF(INDEX('特性清单'!$B$7:$B$18,MATCH(C63,'特性清单'!$A$7:$A$18,0))="","",IF(INDEX('特性清单'!$J$7:$J$18,MATCH(C63,'特性清单'!$A$7:$A$18,0))="","",INDEX('特性清单'!$J$7:$J$18,MATCH(C63,'特性清单'!$A$7:$A$18,0))))</x:f>
      </x:c>
      <x:c r="AI63" s="10"/>
      <x:c r="AJ63" s="13" t="n">
        <x:f>IF(AND(ISNUMBER(U63),U63&gt;=0),1,0)</x:f>
        <x:v>0</x:v>
      </x:c>
      <x:c r="AK63" s="13" t="str">
        <x:f>IF(AE63&lt;&gt;"纳入","",IF(OR(O63="超时",AA63&gt;AH63),1,0))</x:f>
      </x:c>
    </x:row>
    <x:row r="64" ht="25" customHeight="1">
      <x:c r="A64" s="13" t="str">
        <x:v>F05-R3-CX</x:v>
      </x:c>
      <x:c r="B64" s="13" t="str">
        <x:v>F05-R3</x:v>
      </x:c>
      <x:c r="C64" s="13" t="str">
        <x:v>F05</x:v>
      </x:c>
      <x:c r="D64" s="58" t="n">
        <x:v>3</x:v>
      </x:c>
      <x:c r="E64" s="13" t="str">
        <x:v>Codex</x:v>
      </x:c>
      <x:c r="F64" s="10"/>
      <x:c r="G64" s="56"/>
      <x:c r="H64" s="45"/>
      <x:c r="I64" s="45"/>
      <x:c r="J64" s="48"/>
      <x:c r="K64" s="48"/>
      <x:c r="L64" s="48"/>
      <x:c r="M64" s="56"/>
      <x:c r="N64" s="56"/>
      <x:c r="O64" s="10"/>
      <x:c r="P64" s="56"/>
      <x:c r="Q64" s="56"/>
      <x:c r="R64" s="56"/>
      <x:c r="S64" s="10"/>
      <x:c r="T64" s="10"/>
      <x:c r="U64" s="53"/>
      <x:c r="V64" s="10"/>
      <x:c r="W64" s="10"/>
      <x:c r="X64" s="10"/>
      <x:c r="Y64" s="10"/>
      <x:c r="Z64" s="13" t="str">
        <x:f>IF(INDEX('特性清单'!$B$7:$B$18,MATCH(C64,'特性清单'!$A$7:$A$18,0))="","",IF(INDEX('特性清单'!$H$7:$H$18,MATCH(C64,'特性清单'!$A$7:$A$18,0))="","",INDEX('特性清单'!$H$7:$H$18,MATCH(C64,'特性清单'!$A$7:$A$18,0))))</x:f>
      </x:c>
      <x:c r="AA64" s="50" t="str">
        <x:f>IF(AND(COUNT(H64:J64)=3,I64&gt;=H64,J64&gt;=0),ROUND((I64-H64)*1440-J64,2),"")</x:f>
      </x:c>
      <x:c r="AB64" s="51" t="str">
        <x:f>IF(AND(ISNUMBER(P64),ISNUMBER(Z64),Z64&gt;0,P64&gt;=0,P64&lt;=Z64),P64/Z64,"")</x:f>
      </x:c>
      <x:c r="AC64" s="51" t="str">
        <x:f>IF(AND(ISNUMBER(Q64),ISNUMBER(Z64),Z64&gt;0,Q64&gt;=0,Q64&lt;=Z64),Q64/Z64,"")</x:f>
      </x:c>
      <x:c r="AD64" s="13" t="str">
        <x:f>IF(AE64&lt;&gt;"纳入","",IF(AND(O64="完成",AC64=1,R64=0,S64="通过",T64="通过",AA64&lt;=AH64),1,0))</x:f>
      </x:c>
      <x:c r="AE64" s="13" t="str">
        <x:f>IF(O64="","待运行",IF(O64="进行中","进行中",IF(NOT(OR(O64="完成",O64="超时",O64="工具故障",O64="主动终止")),"需核对终态",IF(OR('试点设置'!$C$15&lt;&gt;"齐备",INDEX('特性清单'!$P$7:$P$18,MATCH(C64,'特性清单'!$A$7:$A$18,0))&lt;&gt;"齐备",D64&gt;INDEX('特性清单'!$K$7:$K$18,MATCH(C64,'特性清单'!$A$7:$A$18,0))),"待补齐试验设置",IF(NOT(AND(F64&lt;&gt;"",COUNT(G64:N64)=8,COUNT(P64:R64)=3,S64&lt;&gt;"",T64&lt;&gt;"",V64&lt;&gt;"",X64&lt;&gt;"",Y64&lt;&gt;"",AI64&lt;&gt;"")),"待补齐记录",IF(NOT(AND(G64&gt;=1,G64&lt;=4,MOD(G64,1)=0,I64&gt;=H64,MIN(J64:N64)&gt;=0,MOD(M64,1)=0,MOD(N64,1)=0,AA64&gt;=0,K64&lt;=AA64,L64&lt;=K64,MIN(P64:R64)&gt;=0,MOD(P64,1)=0,MOD(Q64,1)=0,MOD(R64,1)=0,P64&lt;=Z64,Q64&lt;=Z64,OR(S64="通过",S64="失败",S64="未完成"),OR(T64="通过",T64="失败",T64="未完成"),OR(AI64="新手",AI64="偶尔使用",AI64="经常使用"),COUNTIFS($A$7:$A$150,A64)=1)),"需核对数值或ID",IF(OR(AND(O64&lt;&gt;"完成",W64=""),AND(J64&gt;0,W64=""),AND(V64&lt;&gt;"一致",W64="")),"待说明原因",IF(V64&lt;&gt;"一致","条件偏差","纳入"))))))))</x:f>
        <x:v>待运行</x:v>
      </x:c>
      <x:c r="AF64" s="13" t="n">
        <x:f>IF(AE64&lt;&gt;"纳入",0,INDEX('配对比较'!$J$7:$J$42,MATCH(B64,'配对比较'!$A$7:$A$42,0)))</x:f>
        <x:v>0</x:v>
      </x:c>
      <x:c r="AG64" s="13" t="n">
        <x:f>IF(AE64&lt;&gt;"纳入",0,INDEX('配对比较'!$L$7:$L$42,MATCH(B64,'配对比较'!$A$7:$A$42,0)))</x:f>
        <x:v>0</x:v>
      </x:c>
      <x:c r="AH64" s="13" t="str">
        <x:f>IF(INDEX('特性清单'!$B$7:$B$18,MATCH(C64,'特性清单'!$A$7:$A$18,0))="","",IF(INDEX('特性清单'!$J$7:$J$18,MATCH(C64,'特性清单'!$A$7:$A$18,0))="","",INDEX('特性清单'!$J$7:$J$18,MATCH(C64,'特性清单'!$A$7:$A$18,0))))</x:f>
      </x:c>
      <x:c r="AI64" s="10"/>
      <x:c r="AJ64" s="13" t="n">
        <x:f>IF(AND(ISNUMBER(U64),U64&gt;=0),1,0)</x:f>
        <x:v>0</x:v>
      </x:c>
      <x:c r="AK64" s="13" t="str">
        <x:f>IF(AE64&lt;&gt;"纳入","",IF(OR(O64="超时",AA64&gt;AH64),1,0))</x:f>
      </x:c>
    </x:row>
    <x:row r="65" ht="25" customHeight="1">
      <x:c r="A65" s="13" t="str">
        <x:v>F05-R3-TR</x:v>
      </x:c>
      <x:c r="B65" s="13" t="str">
        <x:v>F05-R3</x:v>
      </x:c>
      <x:c r="C65" s="13" t="str">
        <x:v>F05</x:v>
      </x:c>
      <x:c r="D65" s="58" t="n">
        <x:v>3</x:v>
      </x:c>
      <x:c r="E65" s="13" t="str">
        <x:v>Trae</x:v>
      </x:c>
      <x:c r="F65" s="10"/>
      <x:c r="G65" s="56"/>
      <x:c r="H65" s="45"/>
      <x:c r="I65" s="45"/>
      <x:c r="J65" s="48"/>
      <x:c r="K65" s="48"/>
      <x:c r="L65" s="48"/>
      <x:c r="M65" s="56"/>
      <x:c r="N65" s="56"/>
      <x:c r="O65" s="10"/>
      <x:c r="P65" s="56"/>
      <x:c r="Q65" s="56"/>
      <x:c r="R65" s="56"/>
      <x:c r="S65" s="10"/>
      <x:c r="T65" s="10"/>
      <x:c r="U65" s="53"/>
      <x:c r="V65" s="10"/>
      <x:c r="W65" s="10"/>
      <x:c r="X65" s="10"/>
      <x:c r="Y65" s="10"/>
      <x:c r="Z65" s="13" t="str">
        <x:f>IF(INDEX('特性清单'!$B$7:$B$18,MATCH(C65,'特性清单'!$A$7:$A$18,0))="","",IF(INDEX('特性清单'!$H$7:$H$18,MATCH(C65,'特性清单'!$A$7:$A$18,0))="","",INDEX('特性清单'!$H$7:$H$18,MATCH(C65,'特性清单'!$A$7:$A$18,0))))</x:f>
      </x:c>
      <x:c r="AA65" s="50" t="str">
        <x:f>IF(AND(COUNT(H65:J65)=3,I65&gt;=H65,J65&gt;=0),ROUND((I65-H65)*1440-J65,2),"")</x:f>
      </x:c>
      <x:c r="AB65" s="51" t="str">
        <x:f>IF(AND(ISNUMBER(P65),ISNUMBER(Z65),Z65&gt;0,P65&gt;=0,P65&lt;=Z65),P65/Z65,"")</x:f>
      </x:c>
      <x:c r="AC65" s="51" t="str">
        <x:f>IF(AND(ISNUMBER(Q65),ISNUMBER(Z65),Z65&gt;0,Q65&gt;=0,Q65&lt;=Z65),Q65/Z65,"")</x:f>
      </x:c>
      <x:c r="AD65" s="13" t="str">
        <x:f>IF(AE65&lt;&gt;"纳入","",IF(AND(O65="完成",AC65=1,R65=0,S65="通过",T65="通过",AA65&lt;=AH65),1,0))</x:f>
      </x:c>
      <x:c r="AE65" s="13" t="str">
        <x:f>IF(O65="","待运行",IF(O65="进行中","进行中",IF(NOT(OR(O65="完成",O65="超时",O65="工具故障",O65="主动终止")),"需核对终态",IF(OR('试点设置'!$C$15&lt;&gt;"齐备",INDEX('特性清单'!$P$7:$P$18,MATCH(C65,'特性清单'!$A$7:$A$18,0))&lt;&gt;"齐备",D65&gt;INDEX('特性清单'!$K$7:$K$18,MATCH(C65,'特性清单'!$A$7:$A$18,0))),"待补齐试验设置",IF(NOT(AND(F65&lt;&gt;"",COUNT(G65:N65)=8,COUNT(P65:R65)=3,S65&lt;&gt;"",T65&lt;&gt;"",V65&lt;&gt;"",X65&lt;&gt;"",Y65&lt;&gt;"",AI65&lt;&gt;"")),"待补齐记录",IF(NOT(AND(G65&gt;=1,G65&lt;=4,MOD(G65,1)=0,I65&gt;=H65,MIN(J65:N65)&gt;=0,MOD(M65,1)=0,MOD(N65,1)=0,AA65&gt;=0,K65&lt;=AA65,L65&lt;=K65,MIN(P65:R65)&gt;=0,MOD(P65,1)=0,MOD(Q65,1)=0,MOD(R65,1)=0,P65&lt;=Z65,Q65&lt;=Z65,OR(S65="通过",S65="失败",S65="未完成"),OR(T65="通过",T65="失败",T65="未完成"),OR(AI65="新手",AI65="偶尔使用",AI65="经常使用"),COUNTIFS($A$7:$A$150,A65)=1)),"需核对数值或ID",IF(OR(AND(O65&lt;&gt;"完成",W65=""),AND(J65&gt;0,W65=""),AND(V65&lt;&gt;"一致",W65="")),"待说明原因",IF(V65&lt;&gt;"一致","条件偏差","纳入"))))))))</x:f>
        <x:v>待运行</x:v>
      </x:c>
      <x:c r="AF65" s="13" t="n">
        <x:f>IF(AE65&lt;&gt;"纳入",0,INDEX('配对比较'!$J$7:$J$42,MATCH(B65,'配对比较'!$A$7:$A$42,0)))</x:f>
        <x:v>0</x:v>
      </x:c>
      <x:c r="AG65" s="13" t="n">
        <x:f>IF(AE65&lt;&gt;"纳入",0,INDEX('配对比较'!$L$7:$L$42,MATCH(B65,'配对比较'!$A$7:$A$42,0)))</x:f>
        <x:v>0</x:v>
      </x:c>
      <x:c r="AH65" s="13" t="str">
        <x:f>IF(INDEX('特性清单'!$B$7:$B$18,MATCH(C65,'特性清单'!$A$7:$A$18,0))="","",IF(INDEX('特性清单'!$J$7:$J$18,MATCH(C65,'特性清单'!$A$7:$A$18,0))="","",INDEX('特性清单'!$J$7:$J$18,MATCH(C65,'特性清单'!$A$7:$A$18,0))))</x:f>
      </x:c>
      <x:c r="AI65" s="10"/>
      <x:c r="AJ65" s="13" t="n">
        <x:f>IF(AND(ISNUMBER(U65),U65&gt;=0),1,0)</x:f>
        <x:v>0</x:v>
      </x:c>
      <x:c r="AK65" s="13" t="str">
        <x:f>IF(AE65&lt;&gt;"纳入","",IF(OR(O65="超时",AA65&gt;AH65),1,0))</x:f>
      </x:c>
    </x:row>
    <x:row r="66" ht="25" customHeight="1">
      <x:c r="A66" s="13" t="str">
        <x:v>F05-R3-CA</x:v>
      </x:c>
      <x:c r="B66" s="13" t="str">
        <x:v>F05-R3</x:v>
      </x:c>
      <x:c r="C66" s="13" t="str">
        <x:v>F05</x:v>
      </x:c>
      <x:c r="D66" s="58" t="n">
        <x:v>3</x:v>
      </x:c>
      <x:c r="E66" s="13" t="str">
        <x:v>CodeArts</x:v>
      </x:c>
      <x:c r="F66" s="10"/>
      <x:c r="G66" s="56"/>
      <x:c r="H66" s="45"/>
      <x:c r="I66" s="45"/>
      <x:c r="J66" s="48"/>
      <x:c r="K66" s="48"/>
      <x:c r="L66" s="48"/>
      <x:c r="M66" s="56"/>
      <x:c r="N66" s="56"/>
      <x:c r="O66" s="10"/>
      <x:c r="P66" s="56"/>
      <x:c r="Q66" s="56"/>
      <x:c r="R66" s="56"/>
      <x:c r="S66" s="10"/>
      <x:c r="T66" s="10"/>
      <x:c r="U66" s="53"/>
      <x:c r="V66" s="10"/>
      <x:c r="W66" s="10"/>
      <x:c r="X66" s="10"/>
      <x:c r="Y66" s="10"/>
      <x:c r="Z66" s="13" t="str">
        <x:f>IF(INDEX('特性清单'!$B$7:$B$18,MATCH(C66,'特性清单'!$A$7:$A$18,0))="","",IF(INDEX('特性清单'!$H$7:$H$18,MATCH(C66,'特性清单'!$A$7:$A$18,0))="","",INDEX('特性清单'!$H$7:$H$18,MATCH(C66,'特性清单'!$A$7:$A$18,0))))</x:f>
      </x:c>
      <x:c r="AA66" s="50" t="str">
        <x:f>IF(AND(COUNT(H66:J66)=3,I66&gt;=H66,J66&gt;=0),ROUND((I66-H66)*1440-J66,2),"")</x:f>
      </x:c>
      <x:c r="AB66" s="51" t="str">
        <x:f>IF(AND(ISNUMBER(P66),ISNUMBER(Z66),Z66&gt;0,P66&gt;=0,P66&lt;=Z66),P66/Z66,"")</x:f>
      </x:c>
      <x:c r="AC66" s="51" t="str">
        <x:f>IF(AND(ISNUMBER(Q66),ISNUMBER(Z66),Z66&gt;0,Q66&gt;=0,Q66&lt;=Z66),Q66/Z66,"")</x:f>
      </x:c>
      <x:c r="AD66" s="13" t="str">
        <x:f>IF(AE66&lt;&gt;"纳入","",IF(AND(O66="完成",AC66=1,R66=0,S66="通过",T66="通过",AA66&lt;=AH66),1,0))</x:f>
      </x:c>
      <x:c r="AE66" s="13" t="str">
        <x:f>IF(O66="","待运行",IF(O66="进行中","进行中",IF(NOT(OR(O66="完成",O66="超时",O66="工具故障",O66="主动终止")),"需核对终态",IF(OR('试点设置'!$C$15&lt;&gt;"齐备",INDEX('特性清单'!$P$7:$P$18,MATCH(C66,'特性清单'!$A$7:$A$18,0))&lt;&gt;"齐备",D66&gt;INDEX('特性清单'!$K$7:$K$18,MATCH(C66,'特性清单'!$A$7:$A$18,0))),"待补齐试验设置",IF(NOT(AND(F66&lt;&gt;"",COUNT(G66:N66)=8,COUNT(P66:R66)=3,S66&lt;&gt;"",T66&lt;&gt;"",V66&lt;&gt;"",X66&lt;&gt;"",Y66&lt;&gt;"",AI66&lt;&gt;"")),"待补齐记录",IF(NOT(AND(G66&gt;=1,G66&lt;=4,MOD(G66,1)=0,I66&gt;=H66,MIN(J66:N66)&gt;=0,MOD(M66,1)=0,MOD(N66,1)=0,AA66&gt;=0,K66&lt;=AA66,L66&lt;=K66,MIN(P66:R66)&gt;=0,MOD(P66,1)=0,MOD(Q66,1)=0,MOD(R66,1)=0,P66&lt;=Z66,Q66&lt;=Z66,OR(S66="通过",S66="失败",S66="未完成"),OR(T66="通过",T66="失败",T66="未完成"),OR(AI66="新手",AI66="偶尔使用",AI66="经常使用"),COUNTIFS($A$7:$A$150,A66)=1)),"需核对数值或ID",IF(OR(AND(O66&lt;&gt;"完成",W66=""),AND(J66&gt;0,W66=""),AND(V66&lt;&gt;"一致",W66="")),"待说明原因",IF(V66&lt;&gt;"一致","条件偏差","纳入"))))))))</x:f>
        <x:v>待运行</x:v>
      </x:c>
      <x:c r="AF66" s="13" t="n">
        <x:f>IF(AE66&lt;&gt;"纳入",0,INDEX('配对比较'!$J$7:$J$42,MATCH(B66,'配对比较'!$A$7:$A$42,0)))</x:f>
        <x:v>0</x:v>
      </x:c>
      <x:c r="AG66" s="13" t="n">
        <x:f>IF(AE66&lt;&gt;"纳入",0,INDEX('配对比较'!$L$7:$L$42,MATCH(B66,'配对比较'!$A$7:$A$42,0)))</x:f>
        <x:v>0</x:v>
      </x:c>
      <x:c r="AH66" s="13" t="str">
        <x:f>IF(INDEX('特性清单'!$B$7:$B$18,MATCH(C66,'特性清单'!$A$7:$A$18,0))="","",IF(INDEX('特性清单'!$J$7:$J$18,MATCH(C66,'特性清单'!$A$7:$A$18,0))="","",INDEX('特性清单'!$J$7:$J$18,MATCH(C66,'特性清单'!$A$7:$A$18,0))))</x:f>
      </x:c>
      <x:c r="AI66" s="10"/>
      <x:c r="AJ66" s="13" t="n">
        <x:f>IF(AND(ISNUMBER(U66),U66&gt;=0),1,0)</x:f>
        <x:v>0</x:v>
      </x:c>
      <x:c r="AK66" s="13" t="str">
        <x:f>IF(AE66&lt;&gt;"纳入","",IF(OR(O66="超时",AA66&gt;AH66),1,0))</x:f>
      </x:c>
    </x:row>
    <x:row r="67" ht="25" customHeight="1">
      <x:c r="A67" s="13" t="str">
        <x:v>F06-R1-CC</x:v>
      </x:c>
      <x:c r="B67" s="13" t="str">
        <x:v>F06-R1</x:v>
      </x:c>
      <x:c r="C67" s="13" t="str">
        <x:v>F06</x:v>
      </x:c>
      <x:c r="D67" s="58" t="n">
        <x:v>1</x:v>
      </x:c>
      <x:c r="E67" s="13" t="str">
        <x:v>Claude Code</x:v>
      </x:c>
      <x:c r="F67" s="10"/>
      <x:c r="G67" s="56"/>
      <x:c r="H67" s="45"/>
      <x:c r="I67" s="45"/>
      <x:c r="J67" s="48"/>
      <x:c r="K67" s="48"/>
      <x:c r="L67" s="48"/>
      <x:c r="M67" s="56"/>
      <x:c r="N67" s="56"/>
      <x:c r="O67" s="10"/>
      <x:c r="P67" s="56"/>
      <x:c r="Q67" s="56"/>
      <x:c r="R67" s="56"/>
      <x:c r="S67" s="10"/>
      <x:c r="T67" s="10"/>
      <x:c r="U67" s="53"/>
      <x:c r="V67" s="10"/>
      <x:c r="W67" s="10"/>
      <x:c r="X67" s="10"/>
      <x:c r="Y67" s="10"/>
      <x:c r="Z67" s="13" t="str">
        <x:f>IF(INDEX('特性清单'!$B$7:$B$18,MATCH(C67,'特性清单'!$A$7:$A$18,0))="","",IF(INDEX('特性清单'!$H$7:$H$18,MATCH(C67,'特性清单'!$A$7:$A$18,0))="","",INDEX('特性清单'!$H$7:$H$18,MATCH(C67,'特性清单'!$A$7:$A$18,0))))</x:f>
      </x:c>
      <x:c r="AA67" s="50" t="str">
        <x:f>IF(AND(COUNT(H67:J67)=3,I67&gt;=H67,J67&gt;=0),ROUND((I67-H67)*1440-J67,2),"")</x:f>
      </x:c>
      <x:c r="AB67" s="51" t="str">
        <x:f>IF(AND(ISNUMBER(P67),ISNUMBER(Z67),Z67&gt;0,P67&gt;=0,P67&lt;=Z67),P67/Z67,"")</x:f>
      </x:c>
      <x:c r="AC67" s="51" t="str">
        <x:f>IF(AND(ISNUMBER(Q67),ISNUMBER(Z67),Z67&gt;0,Q67&gt;=0,Q67&lt;=Z67),Q67/Z67,"")</x:f>
      </x:c>
      <x:c r="AD67" s="13" t="str">
        <x:f>IF(AE67&lt;&gt;"纳入","",IF(AND(O67="完成",AC67=1,R67=0,S67="通过",T67="通过",AA67&lt;=AH67),1,0))</x:f>
      </x:c>
      <x:c r="AE67" s="13" t="str">
        <x:f>IF(O67="","待运行",IF(O67="进行中","进行中",IF(NOT(OR(O67="完成",O67="超时",O67="工具故障",O67="主动终止")),"需核对终态",IF(OR('试点设置'!$C$15&lt;&gt;"齐备",INDEX('特性清单'!$P$7:$P$18,MATCH(C67,'特性清单'!$A$7:$A$18,0))&lt;&gt;"齐备",D67&gt;INDEX('特性清单'!$K$7:$K$18,MATCH(C67,'特性清单'!$A$7:$A$18,0))),"待补齐试验设置",IF(NOT(AND(F67&lt;&gt;"",COUNT(G67:N67)=8,COUNT(P67:R67)=3,S67&lt;&gt;"",T67&lt;&gt;"",V67&lt;&gt;"",X67&lt;&gt;"",Y67&lt;&gt;"",AI67&lt;&gt;"")),"待补齐记录",IF(NOT(AND(G67&gt;=1,G67&lt;=4,MOD(G67,1)=0,I67&gt;=H67,MIN(J67:N67)&gt;=0,MOD(M67,1)=0,MOD(N67,1)=0,AA67&gt;=0,K67&lt;=AA67,L67&lt;=K67,MIN(P67:R67)&gt;=0,MOD(P67,1)=0,MOD(Q67,1)=0,MOD(R67,1)=0,P67&lt;=Z67,Q67&lt;=Z67,OR(S67="通过",S67="失败",S67="未完成"),OR(T67="通过",T67="失败",T67="未完成"),OR(AI67="新手",AI67="偶尔使用",AI67="经常使用"),COUNTIFS($A$7:$A$150,A67)=1)),"需核对数值或ID",IF(OR(AND(O67&lt;&gt;"完成",W67=""),AND(J67&gt;0,W67=""),AND(V67&lt;&gt;"一致",W67="")),"待说明原因",IF(V67&lt;&gt;"一致","条件偏差","纳入"))))))))</x:f>
        <x:v>待运行</x:v>
      </x:c>
      <x:c r="AF67" s="13" t="n">
        <x:f>IF(AE67&lt;&gt;"纳入",0,INDEX('配对比较'!$J$7:$J$42,MATCH(B67,'配对比较'!$A$7:$A$42,0)))</x:f>
        <x:v>0</x:v>
      </x:c>
      <x:c r="AG67" s="13" t="n">
        <x:f>IF(AE67&lt;&gt;"纳入",0,INDEX('配对比较'!$L$7:$L$42,MATCH(B67,'配对比较'!$A$7:$A$42,0)))</x:f>
        <x:v>0</x:v>
      </x:c>
      <x:c r="AH67" s="13" t="str">
        <x:f>IF(INDEX('特性清单'!$B$7:$B$18,MATCH(C67,'特性清单'!$A$7:$A$18,0))="","",IF(INDEX('特性清单'!$J$7:$J$18,MATCH(C67,'特性清单'!$A$7:$A$18,0))="","",INDEX('特性清单'!$J$7:$J$18,MATCH(C67,'特性清单'!$A$7:$A$18,0))))</x:f>
      </x:c>
      <x:c r="AI67" s="10"/>
      <x:c r="AJ67" s="13" t="n">
        <x:f>IF(AND(ISNUMBER(U67),U67&gt;=0),1,0)</x:f>
        <x:v>0</x:v>
      </x:c>
      <x:c r="AK67" s="13" t="str">
        <x:f>IF(AE67&lt;&gt;"纳入","",IF(OR(O67="超时",AA67&gt;AH67),1,0))</x:f>
      </x:c>
    </x:row>
    <x:row r="68" ht="25" customHeight="1">
      <x:c r="A68" s="13" t="str">
        <x:v>F06-R1-CX</x:v>
      </x:c>
      <x:c r="B68" s="13" t="str">
        <x:v>F06-R1</x:v>
      </x:c>
      <x:c r="C68" s="13" t="str">
        <x:v>F06</x:v>
      </x:c>
      <x:c r="D68" s="58" t="n">
        <x:v>1</x:v>
      </x:c>
      <x:c r="E68" s="13" t="str">
        <x:v>Codex</x:v>
      </x:c>
      <x:c r="F68" s="10"/>
      <x:c r="G68" s="56"/>
      <x:c r="H68" s="45"/>
      <x:c r="I68" s="45"/>
      <x:c r="J68" s="48"/>
      <x:c r="K68" s="48"/>
      <x:c r="L68" s="48"/>
      <x:c r="M68" s="56"/>
      <x:c r="N68" s="56"/>
      <x:c r="O68" s="10"/>
      <x:c r="P68" s="56"/>
      <x:c r="Q68" s="56"/>
      <x:c r="R68" s="56"/>
      <x:c r="S68" s="10"/>
      <x:c r="T68" s="10"/>
      <x:c r="U68" s="53"/>
      <x:c r="V68" s="10"/>
      <x:c r="W68" s="10"/>
      <x:c r="X68" s="10"/>
      <x:c r="Y68" s="10"/>
      <x:c r="Z68" s="13" t="str">
        <x:f>IF(INDEX('特性清单'!$B$7:$B$18,MATCH(C68,'特性清单'!$A$7:$A$18,0))="","",IF(INDEX('特性清单'!$H$7:$H$18,MATCH(C68,'特性清单'!$A$7:$A$18,0))="","",INDEX('特性清单'!$H$7:$H$18,MATCH(C68,'特性清单'!$A$7:$A$18,0))))</x:f>
      </x:c>
      <x:c r="AA68" s="50" t="str">
        <x:f>IF(AND(COUNT(H68:J68)=3,I68&gt;=H68,J68&gt;=0),ROUND((I68-H68)*1440-J68,2),"")</x:f>
      </x:c>
      <x:c r="AB68" s="51" t="str">
        <x:f>IF(AND(ISNUMBER(P68),ISNUMBER(Z68),Z68&gt;0,P68&gt;=0,P68&lt;=Z68),P68/Z68,"")</x:f>
      </x:c>
      <x:c r="AC68" s="51" t="str">
        <x:f>IF(AND(ISNUMBER(Q68),ISNUMBER(Z68),Z68&gt;0,Q68&gt;=0,Q68&lt;=Z68),Q68/Z68,"")</x:f>
      </x:c>
      <x:c r="AD68" s="13" t="str">
        <x:f>IF(AE68&lt;&gt;"纳入","",IF(AND(O68="完成",AC68=1,R68=0,S68="通过",T68="通过",AA68&lt;=AH68),1,0))</x:f>
      </x:c>
      <x:c r="AE68" s="13" t="str">
        <x:f>IF(O68="","待运行",IF(O68="进行中","进行中",IF(NOT(OR(O68="完成",O68="超时",O68="工具故障",O68="主动终止")),"需核对终态",IF(OR('试点设置'!$C$15&lt;&gt;"齐备",INDEX('特性清单'!$P$7:$P$18,MATCH(C68,'特性清单'!$A$7:$A$18,0))&lt;&gt;"齐备",D68&gt;INDEX('特性清单'!$K$7:$K$18,MATCH(C68,'特性清单'!$A$7:$A$18,0))),"待补齐试验设置",IF(NOT(AND(F68&lt;&gt;"",COUNT(G68:N68)=8,COUNT(P68:R68)=3,S68&lt;&gt;"",T68&lt;&gt;"",V68&lt;&gt;"",X68&lt;&gt;"",Y68&lt;&gt;"",AI68&lt;&gt;"")),"待补齐记录",IF(NOT(AND(G68&gt;=1,G68&lt;=4,MOD(G68,1)=0,I68&gt;=H68,MIN(J68:N68)&gt;=0,MOD(M68,1)=0,MOD(N68,1)=0,AA68&gt;=0,K68&lt;=AA68,L68&lt;=K68,MIN(P68:R68)&gt;=0,MOD(P68,1)=0,MOD(Q68,1)=0,MOD(R68,1)=0,P68&lt;=Z68,Q68&lt;=Z68,OR(S68="通过",S68="失败",S68="未完成"),OR(T68="通过",T68="失败",T68="未完成"),OR(AI68="新手",AI68="偶尔使用",AI68="经常使用"),COUNTIFS($A$7:$A$150,A68)=1)),"需核对数值或ID",IF(OR(AND(O68&lt;&gt;"完成",W68=""),AND(J68&gt;0,W68=""),AND(V68&lt;&gt;"一致",W68="")),"待说明原因",IF(V68&lt;&gt;"一致","条件偏差","纳入"))))))))</x:f>
        <x:v>待运行</x:v>
      </x:c>
      <x:c r="AF68" s="13" t="n">
        <x:f>IF(AE68&lt;&gt;"纳入",0,INDEX('配对比较'!$J$7:$J$42,MATCH(B68,'配对比较'!$A$7:$A$42,0)))</x:f>
        <x:v>0</x:v>
      </x:c>
      <x:c r="AG68" s="13" t="n">
        <x:f>IF(AE68&lt;&gt;"纳入",0,INDEX('配对比较'!$L$7:$L$42,MATCH(B68,'配对比较'!$A$7:$A$42,0)))</x:f>
        <x:v>0</x:v>
      </x:c>
      <x:c r="AH68" s="13" t="str">
        <x:f>IF(INDEX('特性清单'!$B$7:$B$18,MATCH(C68,'特性清单'!$A$7:$A$18,0))="","",IF(INDEX('特性清单'!$J$7:$J$18,MATCH(C68,'特性清单'!$A$7:$A$18,0))="","",INDEX('特性清单'!$J$7:$J$18,MATCH(C68,'特性清单'!$A$7:$A$18,0))))</x:f>
      </x:c>
      <x:c r="AI68" s="10"/>
      <x:c r="AJ68" s="13" t="n">
        <x:f>IF(AND(ISNUMBER(U68),U68&gt;=0),1,0)</x:f>
        <x:v>0</x:v>
      </x:c>
      <x:c r="AK68" s="13" t="str">
        <x:f>IF(AE68&lt;&gt;"纳入","",IF(OR(O68="超时",AA68&gt;AH68),1,0))</x:f>
      </x:c>
    </x:row>
    <x:row r="69" ht="25" customHeight="1">
      <x:c r="A69" s="13" t="str">
        <x:v>F06-R1-TR</x:v>
      </x:c>
      <x:c r="B69" s="13" t="str">
        <x:v>F06-R1</x:v>
      </x:c>
      <x:c r="C69" s="13" t="str">
        <x:v>F06</x:v>
      </x:c>
      <x:c r="D69" s="58" t="n">
        <x:v>1</x:v>
      </x:c>
      <x:c r="E69" s="13" t="str">
        <x:v>Trae</x:v>
      </x:c>
      <x:c r="F69" s="10"/>
      <x:c r="G69" s="56"/>
      <x:c r="H69" s="45"/>
      <x:c r="I69" s="45"/>
      <x:c r="J69" s="48"/>
      <x:c r="K69" s="48"/>
      <x:c r="L69" s="48"/>
      <x:c r="M69" s="56"/>
      <x:c r="N69" s="56"/>
      <x:c r="O69" s="10"/>
      <x:c r="P69" s="56"/>
      <x:c r="Q69" s="56"/>
      <x:c r="R69" s="56"/>
      <x:c r="S69" s="10"/>
      <x:c r="T69" s="10"/>
      <x:c r="U69" s="53"/>
      <x:c r="V69" s="10"/>
      <x:c r="W69" s="10"/>
      <x:c r="X69" s="10"/>
      <x:c r="Y69" s="10"/>
      <x:c r="Z69" s="13" t="str">
        <x:f>IF(INDEX('特性清单'!$B$7:$B$18,MATCH(C69,'特性清单'!$A$7:$A$18,0))="","",IF(INDEX('特性清单'!$H$7:$H$18,MATCH(C69,'特性清单'!$A$7:$A$18,0))="","",INDEX('特性清单'!$H$7:$H$18,MATCH(C69,'特性清单'!$A$7:$A$18,0))))</x:f>
      </x:c>
      <x:c r="AA69" s="50" t="str">
        <x:f>IF(AND(COUNT(H69:J69)=3,I69&gt;=H69,J69&gt;=0),ROUND((I69-H69)*1440-J69,2),"")</x:f>
      </x:c>
      <x:c r="AB69" s="51" t="str">
        <x:f>IF(AND(ISNUMBER(P69),ISNUMBER(Z69),Z69&gt;0,P69&gt;=0,P69&lt;=Z69),P69/Z69,"")</x:f>
      </x:c>
      <x:c r="AC69" s="51" t="str">
        <x:f>IF(AND(ISNUMBER(Q69),ISNUMBER(Z69),Z69&gt;0,Q69&gt;=0,Q69&lt;=Z69),Q69/Z69,"")</x:f>
      </x:c>
      <x:c r="AD69" s="13" t="str">
        <x:f>IF(AE69&lt;&gt;"纳入","",IF(AND(O69="完成",AC69=1,R69=0,S69="通过",T69="通过",AA69&lt;=AH69),1,0))</x:f>
      </x:c>
      <x:c r="AE69" s="13" t="str">
        <x:f>IF(O69="","待运行",IF(O69="进行中","进行中",IF(NOT(OR(O69="完成",O69="超时",O69="工具故障",O69="主动终止")),"需核对终态",IF(OR('试点设置'!$C$15&lt;&gt;"齐备",INDEX('特性清单'!$P$7:$P$18,MATCH(C69,'特性清单'!$A$7:$A$18,0))&lt;&gt;"齐备",D69&gt;INDEX('特性清单'!$K$7:$K$18,MATCH(C69,'特性清单'!$A$7:$A$18,0))),"待补齐试验设置",IF(NOT(AND(F69&lt;&gt;"",COUNT(G69:N69)=8,COUNT(P69:R69)=3,S69&lt;&gt;"",T69&lt;&gt;"",V69&lt;&gt;"",X69&lt;&gt;"",Y69&lt;&gt;"",AI69&lt;&gt;"")),"待补齐记录",IF(NOT(AND(G69&gt;=1,G69&lt;=4,MOD(G69,1)=0,I69&gt;=H69,MIN(J69:N69)&gt;=0,MOD(M69,1)=0,MOD(N69,1)=0,AA69&gt;=0,K69&lt;=AA69,L69&lt;=K69,MIN(P69:R69)&gt;=0,MOD(P69,1)=0,MOD(Q69,1)=0,MOD(R69,1)=0,P69&lt;=Z69,Q69&lt;=Z69,OR(S69="通过",S69="失败",S69="未完成"),OR(T69="通过",T69="失败",T69="未完成"),OR(AI69="新手",AI69="偶尔使用",AI69="经常使用"),COUNTIFS($A$7:$A$150,A69)=1)),"需核对数值或ID",IF(OR(AND(O69&lt;&gt;"完成",W69=""),AND(J69&gt;0,W69=""),AND(V69&lt;&gt;"一致",W69="")),"待说明原因",IF(V69&lt;&gt;"一致","条件偏差","纳入"))))))))</x:f>
        <x:v>待运行</x:v>
      </x:c>
      <x:c r="AF69" s="13" t="n">
        <x:f>IF(AE69&lt;&gt;"纳入",0,INDEX('配对比较'!$J$7:$J$42,MATCH(B69,'配对比较'!$A$7:$A$42,0)))</x:f>
        <x:v>0</x:v>
      </x:c>
      <x:c r="AG69" s="13" t="n">
        <x:f>IF(AE69&lt;&gt;"纳入",0,INDEX('配对比较'!$L$7:$L$42,MATCH(B69,'配对比较'!$A$7:$A$42,0)))</x:f>
        <x:v>0</x:v>
      </x:c>
      <x:c r="AH69" s="13" t="str">
        <x:f>IF(INDEX('特性清单'!$B$7:$B$18,MATCH(C69,'特性清单'!$A$7:$A$18,0))="","",IF(INDEX('特性清单'!$J$7:$J$18,MATCH(C69,'特性清单'!$A$7:$A$18,0))="","",INDEX('特性清单'!$J$7:$J$18,MATCH(C69,'特性清单'!$A$7:$A$18,0))))</x:f>
      </x:c>
      <x:c r="AI69" s="10"/>
      <x:c r="AJ69" s="13" t="n">
        <x:f>IF(AND(ISNUMBER(U69),U69&gt;=0),1,0)</x:f>
        <x:v>0</x:v>
      </x:c>
      <x:c r="AK69" s="13" t="str">
        <x:f>IF(AE69&lt;&gt;"纳入","",IF(OR(O69="超时",AA69&gt;AH69),1,0))</x:f>
      </x:c>
    </x:row>
    <x:row r="70" ht="25" customHeight="1">
      <x:c r="A70" s="13" t="str">
        <x:v>F06-R1-CA</x:v>
      </x:c>
      <x:c r="B70" s="13" t="str">
        <x:v>F06-R1</x:v>
      </x:c>
      <x:c r="C70" s="13" t="str">
        <x:v>F06</x:v>
      </x:c>
      <x:c r="D70" s="58" t="n">
        <x:v>1</x:v>
      </x:c>
      <x:c r="E70" s="13" t="str">
        <x:v>CodeArts</x:v>
      </x:c>
      <x:c r="F70" s="10"/>
      <x:c r="G70" s="56"/>
      <x:c r="H70" s="45"/>
      <x:c r="I70" s="45"/>
      <x:c r="J70" s="48"/>
      <x:c r="K70" s="48"/>
      <x:c r="L70" s="48"/>
      <x:c r="M70" s="56"/>
      <x:c r="N70" s="56"/>
      <x:c r="O70" s="10"/>
      <x:c r="P70" s="56"/>
      <x:c r="Q70" s="56"/>
      <x:c r="R70" s="56"/>
      <x:c r="S70" s="10"/>
      <x:c r="T70" s="10"/>
      <x:c r="U70" s="53"/>
      <x:c r="V70" s="10"/>
      <x:c r="W70" s="10"/>
      <x:c r="X70" s="10"/>
      <x:c r="Y70" s="10"/>
      <x:c r="Z70" s="13" t="str">
        <x:f>IF(INDEX('特性清单'!$B$7:$B$18,MATCH(C70,'特性清单'!$A$7:$A$18,0))="","",IF(INDEX('特性清单'!$H$7:$H$18,MATCH(C70,'特性清单'!$A$7:$A$18,0))="","",INDEX('特性清单'!$H$7:$H$18,MATCH(C70,'特性清单'!$A$7:$A$18,0))))</x:f>
      </x:c>
      <x:c r="AA70" s="50" t="str">
        <x:f>IF(AND(COUNT(H70:J70)=3,I70&gt;=H70,J70&gt;=0),ROUND((I70-H70)*1440-J70,2),"")</x:f>
      </x:c>
      <x:c r="AB70" s="51" t="str">
        <x:f>IF(AND(ISNUMBER(P70),ISNUMBER(Z70),Z70&gt;0,P70&gt;=0,P70&lt;=Z70),P70/Z70,"")</x:f>
      </x:c>
      <x:c r="AC70" s="51" t="str">
        <x:f>IF(AND(ISNUMBER(Q70),ISNUMBER(Z70),Z70&gt;0,Q70&gt;=0,Q70&lt;=Z70),Q70/Z70,"")</x:f>
      </x:c>
      <x:c r="AD70" s="13" t="str">
        <x:f>IF(AE70&lt;&gt;"纳入","",IF(AND(O70="完成",AC70=1,R70=0,S70="通过",T70="通过",AA70&lt;=AH70),1,0))</x:f>
      </x:c>
      <x:c r="AE70" s="13" t="str">
        <x:f>IF(O70="","待运行",IF(O70="进行中","进行中",IF(NOT(OR(O70="完成",O70="超时",O70="工具故障",O70="主动终止")),"需核对终态",IF(OR('试点设置'!$C$15&lt;&gt;"齐备",INDEX('特性清单'!$P$7:$P$18,MATCH(C70,'特性清单'!$A$7:$A$18,0))&lt;&gt;"齐备",D70&gt;INDEX('特性清单'!$K$7:$K$18,MATCH(C70,'特性清单'!$A$7:$A$18,0))),"待补齐试验设置",IF(NOT(AND(F70&lt;&gt;"",COUNT(G70:N70)=8,COUNT(P70:R70)=3,S70&lt;&gt;"",T70&lt;&gt;"",V70&lt;&gt;"",X70&lt;&gt;"",Y70&lt;&gt;"",AI70&lt;&gt;"")),"待补齐记录",IF(NOT(AND(G70&gt;=1,G70&lt;=4,MOD(G70,1)=0,I70&gt;=H70,MIN(J70:N70)&gt;=0,MOD(M70,1)=0,MOD(N70,1)=0,AA70&gt;=0,K70&lt;=AA70,L70&lt;=K70,MIN(P70:R70)&gt;=0,MOD(P70,1)=0,MOD(Q70,1)=0,MOD(R70,1)=0,P70&lt;=Z70,Q70&lt;=Z70,OR(S70="通过",S70="失败",S70="未完成"),OR(T70="通过",T70="失败",T70="未完成"),OR(AI70="新手",AI70="偶尔使用",AI70="经常使用"),COUNTIFS($A$7:$A$150,A70)=1)),"需核对数值或ID",IF(OR(AND(O70&lt;&gt;"完成",W70=""),AND(J70&gt;0,W70=""),AND(V70&lt;&gt;"一致",W70="")),"待说明原因",IF(V70&lt;&gt;"一致","条件偏差","纳入"))))))))</x:f>
        <x:v>待运行</x:v>
      </x:c>
      <x:c r="AF70" s="13" t="n">
        <x:f>IF(AE70&lt;&gt;"纳入",0,INDEX('配对比较'!$J$7:$J$42,MATCH(B70,'配对比较'!$A$7:$A$42,0)))</x:f>
        <x:v>0</x:v>
      </x:c>
      <x:c r="AG70" s="13" t="n">
        <x:f>IF(AE70&lt;&gt;"纳入",0,INDEX('配对比较'!$L$7:$L$42,MATCH(B70,'配对比较'!$A$7:$A$42,0)))</x:f>
        <x:v>0</x:v>
      </x:c>
      <x:c r="AH70" s="13" t="str">
        <x:f>IF(INDEX('特性清单'!$B$7:$B$18,MATCH(C70,'特性清单'!$A$7:$A$18,0))="","",IF(INDEX('特性清单'!$J$7:$J$18,MATCH(C70,'特性清单'!$A$7:$A$18,0))="","",INDEX('特性清单'!$J$7:$J$18,MATCH(C70,'特性清单'!$A$7:$A$18,0))))</x:f>
      </x:c>
      <x:c r="AI70" s="10"/>
      <x:c r="AJ70" s="13" t="n">
        <x:f>IF(AND(ISNUMBER(U70),U70&gt;=0),1,0)</x:f>
        <x:v>0</x:v>
      </x:c>
      <x:c r="AK70" s="13" t="str">
        <x:f>IF(AE70&lt;&gt;"纳入","",IF(OR(O70="超时",AA70&gt;AH70),1,0))</x:f>
      </x:c>
    </x:row>
    <x:row r="71" ht="25" customHeight="1">
      <x:c r="A71" s="13" t="str">
        <x:v>F06-R2-CC</x:v>
      </x:c>
      <x:c r="B71" s="13" t="str">
        <x:v>F06-R2</x:v>
      </x:c>
      <x:c r="C71" s="13" t="str">
        <x:v>F06</x:v>
      </x:c>
      <x:c r="D71" s="58" t="n">
        <x:v>2</x:v>
      </x:c>
      <x:c r="E71" s="13" t="str">
        <x:v>Claude Code</x:v>
      </x:c>
      <x:c r="F71" s="10"/>
      <x:c r="G71" s="56"/>
      <x:c r="H71" s="45"/>
      <x:c r="I71" s="45"/>
      <x:c r="J71" s="48"/>
      <x:c r="K71" s="48"/>
      <x:c r="L71" s="48"/>
      <x:c r="M71" s="56"/>
      <x:c r="N71" s="56"/>
      <x:c r="O71" s="10"/>
      <x:c r="P71" s="56"/>
      <x:c r="Q71" s="56"/>
      <x:c r="R71" s="56"/>
      <x:c r="S71" s="10"/>
      <x:c r="T71" s="10"/>
      <x:c r="U71" s="53"/>
      <x:c r="V71" s="10"/>
      <x:c r="W71" s="10"/>
      <x:c r="X71" s="10"/>
      <x:c r="Y71" s="10"/>
      <x:c r="Z71" s="13" t="str">
        <x:f>IF(INDEX('特性清单'!$B$7:$B$18,MATCH(C71,'特性清单'!$A$7:$A$18,0))="","",IF(INDEX('特性清单'!$H$7:$H$18,MATCH(C71,'特性清单'!$A$7:$A$18,0))="","",INDEX('特性清单'!$H$7:$H$18,MATCH(C71,'特性清单'!$A$7:$A$18,0))))</x:f>
      </x:c>
      <x:c r="AA71" s="50" t="str">
        <x:f>IF(AND(COUNT(H71:J71)=3,I71&gt;=H71,J71&gt;=0),ROUND((I71-H71)*1440-J71,2),"")</x:f>
      </x:c>
      <x:c r="AB71" s="51" t="str">
        <x:f>IF(AND(ISNUMBER(P71),ISNUMBER(Z71),Z71&gt;0,P71&gt;=0,P71&lt;=Z71),P71/Z71,"")</x:f>
      </x:c>
      <x:c r="AC71" s="51" t="str">
        <x:f>IF(AND(ISNUMBER(Q71),ISNUMBER(Z71),Z71&gt;0,Q71&gt;=0,Q71&lt;=Z71),Q71/Z71,"")</x:f>
      </x:c>
      <x:c r="AD71" s="13" t="str">
        <x:f>IF(AE71&lt;&gt;"纳入","",IF(AND(O71="完成",AC71=1,R71=0,S71="通过",T71="通过",AA71&lt;=AH71),1,0))</x:f>
      </x:c>
      <x:c r="AE71" s="13" t="str">
        <x:f>IF(O71="","待运行",IF(O71="进行中","进行中",IF(NOT(OR(O71="完成",O71="超时",O71="工具故障",O71="主动终止")),"需核对终态",IF(OR('试点设置'!$C$15&lt;&gt;"齐备",INDEX('特性清单'!$P$7:$P$18,MATCH(C71,'特性清单'!$A$7:$A$18,0))&lt;&gt;"齐备",D71&gt;INDEX('特性清单'!$K$7:$K$18,MATCH(C71,'特性清单'!$A$7:$A$18,0))),"待补齐试验设置",IF(NOT(AND(F71&lt;&gt;"",COUNT(G71:N71)=8,COUNT(P71:R71)=3,S71&lt;&gt;"",T71&lt;&gt;"",V71&lt;&gt;"",X71&lt;&gt;"",Y71&lt;&gt;"",AI71&lt;&gt;"")),"待补齐记录",IF(NOT(AND(G71&gt;=1,G71&lt;=4,MOD(G71,1)=0,I71&gt;=H71,MIN(J71:N71)&gt;=0,MOD(M71,1)=0,MOD(N71,1)=0,AA71&gt;=0,K71&lt;=AA71,L71&lt;=K71,MIN(P71:R71)&gt;=0,MOD(P71,1)=0,MOD(Q71,1)=0,MOD(R71,1)=0,P71&lt;=Z71,Q71&lt;=Z71,OR(S71="通过",S71="失败",S71="未完成"),OR(T71="通过",T71="失败",T71="未完成"),OR(AI71="新手",AI71="偶尔使用",AI71="经常使用"),COUNTIFS($A$7:$A$150,A71)=1)),"需核对数值或ID",IF(OR(AND(O71&lt;&gt;"完成",W71=""),AND(J71&gt;0,W71=""),AND(V71&lt;&gt;"一致",W71="")),"待说明原因",IF(V71&lt;&gt;"一致","条件偏差","纳入"))))))))</x:f>
        <x:v>待运行</x:v>
      </x:c>
      <x:c r="AF71" s="13" t="n">
        <x:f>IF(AE71&lt;&gt;"纳入",0,INDEX('配对比较'!$J$7:$J$42,MATCH(B71,'配对比较'!$A$7:$A$42,0)))</x:f>
        <x:v>0</x:v>
      </x:c>
      <x:c r="AG71" s="13" t="n">
        <x:f>IF(AE71&lt;&gt;"纳入",0,INDEX('配对比较'!$L$7:$L$42,MATCH(B71,'配对比较'!$A$7:$A$42,0)))</x:f>
        <x:v>0</x:v>
      </x:c>
      <x:c r="AH71" s="13" t="str">
        <x:f>IF(INDEX('特性清单'!$B$7:$B$18,MATCH(C71,'特性清单'!$A$7:$A$18,0))="","",IF(INDEX('特性清单'!$J$7:$J$18,MATCH(C71,'特性清单'!$A$7:$A$18,0))="","",INDEX('特性清单'!$J$7:$J$18,MATCH(C71,'特性清单'!$A$7:$A$18,0))))</x:f>
      </x:c>
      <x:c r="AI71" s="10"/>
      <x:c r="AJ71" s="13" t="n">
        <x:f>IF(AND(ISNUMBER(U71),U71&gt;=0),1,0)</x:f>
        <x:v>0</x:v>
      </x:c>
      <x:c r="AK71" s="13" t="str">
        <x:f>IF(AE71&lt;&gt;"纳入","",IF(OR(O71="超时",AA71&gt;AH71),1,0))</x:f>
      </x:c>
    </x:row>
    <x:row r="72" ht="25" customHeight="1">
      <x:c r="A72" s="13" t="str">
        <x:v>F06-R2-CX</x:v>
      </x:c>
      <x:c r="B72" s="13" t="str">
        <x:v>F06-R2</x:v>
      </x:c>
      <x:c r="C72" s="13" t="str">
        <x:v>F06</x:v>
      </x:c>
      <x:c r="D72" s="58" t="n">
        <x:v>2</x:v>
      </x:c>
      <x:c r="E72" s="13" t="str">
        <x:v>Codex</x:v>
      </x:c>
      <x:c r="F72" s="10"/>
      <x:c r="G72" s="56"/>
      <x:c r="H72" s="45"/>
      <x:c r="I72" s="45"/>
      <x:c r="J72" s="48"/>
      <x:c r="K72" s="48"/>
      <x:c r="L72" s="48"/>
      <x:c r="M72" s="56"/>
      <x:c r="N72" s="56"/>
      <x:c r="O72" s="10"/>
      <x:c r="P72" s="56"/>
      <x:c r="Q72" s="56"/>
      <x:c r="R72" s="56"/>
      <x:c r="S72" s="10"/>
      <x:c r="T72" s="10"/>
      <x:c r="U72" s="53"/>
      <x:c r="V72" s="10"/>
      <x:c r="W72" s="10"/>
      <x:c r="X72" s="10"/>
      <x:c r="Y72" s="10"/>
      <x:c r="Z72" s="13" t="str">
        <x:f>IF(INDEX('特性清单'!$B$7:$B$18,MATCH(C72,'特性清单'!$A$7:$A$18,0))="","",IF(INDEX('特性清单'!$H$7:$H$18,MATCH(C72,'特性清单'!$A$7:$A$18,0))="","",INDEX('特性清单'!$H$7:$H$18,MATCH(C72,'特性清单'!$A$7:$A$18,0))))</x:f>
      </x:c>
      <x:c r="AA72" s="50" t="str">
        <x:f>IF(AND(COUNT(H72:J72)=3,I72&gt;=H72,J72&gt;=0),ROUND((I72-H72)*1440-J72,2),"")</x:f>
      </x:c>
      <x:c r="AB72" s="51" t="str">
        <x:f>IF(AND(ISNUMBER(P72),ISNUMBER(Z72),Z72&gt;0,P72&gt;=0,P72&lt;=Z72),P72/Z72,"")</x:f>
      </x:c>
      <x:c r="AC72" s="51" t="str">
        <x:f>IF(AND(ISNUMBER(Q72),ISNUMBER(Z72),Z72&gt;0,Q72&gt;=0,Q72&lt;=Z72),Q72/Z72,"")</x:f>
      </x:c>
      <x:c r="AD72" s="13" t="str">
        <x:f>IF(AE72&lt;&gt;"纳入","",IF(AND(O72="完成",AC72=1,R72=0,S72="通过",T72="通过",AA72&lt;=AH72),1,0))</x:f>
      </x:c>
      <x:c r="AE72" s="13" t="str">
        <x:f>IF(O72="","待运行",IF(O72="进行中","进行中",IF(NOT(OR(O72="完成",O72="超时",O72="工具故障",O72="主动终止")),"需核对终态",IF(OR('试点设置'!$C$15&lt;&gt;"齐备",INDEX('特性清单'!$P$7:$P$18,MATCH(C72,'特性清单'!$A$7:$A$18,0))&lt;&gt;"齐备",D72&gt;INDEX('特性清单'!$K$7:$K$18,MATCH(C72,'特性清单'!$A$7:$A$18,0))),"待补齐试验设置",IF(NOT(AND(F72&lt;&gt;"",COUNT(G72:N72)=8,COUNT(P72:R72)=3,S72&lt;&gt;"",T72&lt;&gt;"",V72&lt;&gt;"",X72&lt;&gt;"",Y72&lt;&gt;"",AI72&lt;&gt;"")),"待补齐记录",IF(NOT(AND(G72&gt;=1,G72&lt;=4,MOD(G72,1)=0,I72&gt;=H72,MIN(J72:N72)&gt;=0,MOD(M72,1)=0,MOD(N72,1)=0,AA72&gt;=0,K72&lt;=AA72,L72&lt;=K72,MIN(P72:R72)&gt;=0,MOD(P72,1)=0,MOD(Q72,1)=0,MOD(R72,1)=0,P72&lt;=Z72,Q72&lt;=Z72,OR(S72="通过",S72="失败",S72="未完成"),OR(T72="通过",T72="失败",T72="未完成"),OR(AI72="新手",AI72="偶尔使用",AI72="经常使用"),COUNTIFS($A$7:$A$150,A72)=1)),"需核对数值或ID",IF(OR(AND(O72&lt;&gt;"完成",W72=""),AND(J72&gt;0,W72=""),AND(V72&lt;&gt;"一致",W72="")),"待说明原因",IF(V72&lt;&gt;"一致","条件偏差","纳入"))))))))</x:f>
        <x:v>待运行</x:v>
      </x:c>
      <x:c r="AF72" s="13" t="n">
        <x:f>IF(AE72&lt;&gt;"纳入",0,INDEX('配对比较'!$J$7:$J$42,MATCH(B72,'配对比较'!$A$7:$A$42,0)))</x:f>
        <x:v>0</x:v>
      </x:c>
      <x:c r="AG72" s="13" t="n">
        <x:f>IF(AE72&lt;&gt;"纳入",0,INDEX('配对比较'!$L$7:$L$42,MATCH(B72,'配对比较'!$A$7:$A$42,0)))</x:f>
        <x:v>0</x:v>
      </x:c>
      <x:c r="AH72" s="13" t="str">
        <x:f>IF(INDEX('特性清单'!$B$7:$B$18,MATCH(C72,'特性清单'!$A$7:$A$18,0))="","",IF(INDEX('特性清单'!$J$7:$J$18,MATCH(C72,'特性清单'!$A$7:$A$18,0))="","",INDEX('特性清单'!$J$7:$J$18,MATCH(C72,'特性清单'!$A$7:$A$18,0))))</x:f>
      </x:c>
      <x:c r="AI72" s="10"/>
      <x:c r="AJ72" s="13" t="n">
        <x:f>IF(AND(ISNUMBER(U72),U72&gt;=0),1,0)</x:f>
        <x:v>0</x:v>
      </x:c>
      <x:c r="AK72" s="13" t="str">
        <x:f>IF(AE72&lt;&gt;"纳入","",IF(OR(O72="超时",AA72&gt;AH72),1,0))</x:f>
      </x:c>
    </x:row>
    <x:row r="73" ht="25" customHeight="1">
      <x:c r="A73" s="13" t="str">
        <x:v>F06-R2-TR</x:v>
      </x:c>
      <x:c r="B73" s="13" t="str">
        <x:v>F06-R2</x:v>
      </x:c>
      <x:c r="C73" s="13" t="str">
        <x:v>F06</x:v>
      </x:c>
      <x:c r="D73" s="58" t="n">
        <x:v>2</x:v>
      </x:c>
      <x:c r="E73" s="13" t="str">
        <x:v>Trae</x:v>
      </x:c>
      <x:c r="F73" s="10"/>
      <x:c r="G73" s="56"/>
      <x:c r="H73" s="45"/>
      <x:c r="I73" s="45"/>
      <x:c r="J73" s="48"/>
      <x:c r="K73" s="48"/>
      <x:c r="L73" s="48"/>
      <x:c r="M73" s="56"/>
      <x:c r="N73" s="56"/>
      <x:c r="O73" s="10"/>
      <x:c r="P73" s="56"/>
      <x:c r="Q73" s="56"/>
      <x:c r="R73" s="56"/>
      <x:c r="S73" s="10"/>
      <x:c r="T73" s="10"/>
      <x:c r="U73" s="53"/>
      <x:c r="V73" s="10"/>
      <x:c r="W73" s="10"/>
      <x:c r="X73" s="10"/>
      <x:c r="Y73" s="10"/>
      <x:c r="Z73" s="13" t="str">
        <x:f>IF(INDEX('特性清单'!$B$7:$B$18,MATCH(C73,'特性清单'!$A$7:$A$18,0))="","",IF(INDEX('特性清单'!$H$7:$H$18,MATCH(C73,'特性清单'!$A$7:$A$18,0))="","",INDEX('特性清单'!$H$7:$H$18,MATCH(C73,'特性清单'!$A$7:$A$18,0))))</x:f>
      </x:c>
      <x:c r="AA73" s="50" t="str">
        <x:f>IF(AND(COUNT(H73:J73)=3,I73&gt;=H73,J73&gt;=0),ROUND((I73-H73)*1440-J73,2),"")</x:f>
      </x:c>
      <x:c r="AB73" s="51" t="str">
        <x:f>IF(AND(ISNUMBER(P73),ISNUMBER(Z73),Z73&gt;0,P73&gt;=0,P73&lt;=Z73),P73/Z73,"")</x:f>
      </x:c>
      <x:c r="AC73" s="51" t="str">
        <x:f>IF(AND(ISNUMBER(Q73),ISNUMBER(Z73),Z73&gt;0,Q73&gt;=0,Q73&lt;=Z73),Q73/Z73,"")</x:f>
      </x:c>
      <x:c r="AD73" s="13" t="str">
        <x:f>IF(AE73&lt;&gt;"纳入","",IF(AND(O73="完成",AC73=1,R73=0,S73="通过",T73="通过",AA73&lt;=AH73),1,0))</x:f>
      </x:c>
      <x:c r="AE73" s="13" t="str">
        <x:f>IF(O73="","待运行",IF(O73="进行中","进行中",IF(NOT(OR(O73="完成",O73="超时",O73="工具故障",O73="主动终止")),"需核对终态",IF(OR('试点设置'!$C$15&lt;&gt;"齐备",INDEX('特性清单'!$P$7:$P$18,MATCH(C73,'特性清单'!$A$7:$A$18,0))&lt;&gt;"齐备",D73&gt;INDEX('特性清单'!$K$7:$K$18,MATCH(C73,'特性清单'!$A$7:$A$18,0))),"待补齐试验设置",IF(NOT(AND(F73&lt;&gt;"",COUNT(G73:N73)=8,COUNT(P73:R73)=3,S73&lt;&gt;"",T73&lt;&gt;"",V73&lt;&gt;"",X73&lt;&gt;"",Y73&lt;&gt;"",AI73&lt;&gt;"")),"待补齐记录",IF(NOT(AND(G73&gt;=1,G73&lt;=4,MOD(G73,1)=0,I73&gt;=H73,MIN(J73:N73)&gt;=0,MOD(M73,1)=0,MOD(N73,1)=0,AA73&gt;=0,K73&lt;=AA73,L73&lt;=K73,MIN(P73:R73)&gt;=0,MOD(P73,1)=0,MOD(Q73,1)=0,MOD(R73,1)=0,P73&lt;=Z73,Q73&lt;=Z73,OR(S73="通过",S73="失败",S73="未完成"),OR(T73="通过",T73="失败",T73="未完成"),OR(AI73="新手",AI73="偶尔使用",AI73="经常使用"),COUNTIFS($A$7:$A$150,A73)=1)),"需核对数值或ID",IF(OR(AND(O73&lt;&gt;"完成",W73=""),AND(J73&gt;0,W73=""),AND(V73&lt;&gt;"一致",W73="")),"待说明原因",IF(V73&lt;&gt;"一致","条件偏差","纳入"))))))))</x:f>
        <x:v>待运行</x:v>
      </x:c>
      <x:c r="AF73" s="13" t="n">
        <x:f>IF(AE73&lt;&gt;"纳入",0,INDEX('配对比较'!$J$7:$J$42,MATCH(B73,'配对比较'!$A$7:$A$42,0)))</x:f>
        <x:v>0</x:v>
      </x:c>
      <x:c r="AG73" s="13" t="n">
        <x:f>IF(AE73&lt;&gt;"纳入",0,INDEX('配对比较'!$L$7:$L$42,MATCH(B73,'配对比较'!$A$7:$A$42,0)))</x:f>
        <x:v>0</x:v>
      </x:c>
      <x:c r="AH73" s="13" t="str">
        <x:f>IF(INDEX('特性清单'!$B$7:$B$18,MATCH(C73,'特性清单'!$A$7:$A$18,0))="","",IF(INDEX('特性清单'!$J$7:$J$18,MATCH(C73,'特性清单'!$A$7:$A$18,0))="","",INDEX('特性清单'!$J$7:$J$18,MATCH(C73,'特性清单'!$A$7:$A$18,0))))</x:f>
      </x:c>
      <x:c r="AI73" s="10"/>
      <x:c r="AJ73" s="13" t="n">
        <x:f>IF(AND(ISNUMBER(U73),U73&gt;=0),1,0)</x:f>
        <x:v>0</x:v>
      </x:c>
      <x:c r="AK73" s="13" t="str">
        <x:f>IF(AE73&lt;&gt;"纳入","",IF(OR(O73="超时",AA73&gt;AH73),1,0))</x:f>
      </x:c>
    </x:row>
    <x:row r="74" ht="25" customHeight="1">
      <x:c r="A74" s="13" t="str">
        <x:v>F06-R2-CA</x:v>
      </x:c>
      <x:c r="B74" s="13" t="str">
        <x:v>F06-R2</x:v>
      </x:c>
      <x:c r="C74" s="13" t="str">
        <x:v>F06</x:v>
      </x:c>
      <x:c r="D74" s="58" t="n">
        <x:v>2</x:v>
      </x:c>
      <x:c r="E74" s="13" t="str">
        <x:v>CodeArts</x:v>
      </x:c>
      <x:c r="F74" s="10"/>
      <x:c r="G74" s="56"/>
      <x:c r="H74" s="45"/>
      <x:c r="I74" s="45"/>
      <x:c r="J74" s="48"/>
      <x:c r="K74" s="48"/>
      <x:c r="L74" s="48"/>
      <x:c r="M74" s="56"/>
      <x:c r="N74" s="56"/>
      <x:c r="O74" s="10"/>
      <x:c r="P74" s="56"/>
      <x:c r="Q74" s="56"/>
      <x:c r="R74" s="56"/>
      <x:c r="S74" s="10"/>
      <x:c r="T74" s="10"/>
      <x:c r="U74" s="53"/>
      <x:c r="V74" s="10"/>
      <x:c r="W74" s="10"/>
      <x:c r="X74" s="10"/>
      <x:c r="Y74" s="10"/>
      <x:c r="Z74" s="13" t="str">
        <x:f>IF(INDEX('特性清单'!$B$7:$B$18,MATCH(C74,'特性清单'!$A$7:$A$18,0))="","",IF(INDEX('特性清单'!$H$7:$H$18,MATCH(C74,'特性清单'!$A$7:$A$18,0))="","",INDEX('特性清单'!$H$7:$H$18,MATCH(C74,'特性清单'!$A$7:$A$18,0))))</x:f>
      </x:c>
      <x:c r="AA74" s="50" t="str">
        <x:f>IF(AND(COUNT(H74:J74)=3,I74&gt;=H74,J74&gt;=0),ROUND((I74-H74)*1440-J74,2),"")</x:f>
      </x:c>
      <x:c r="AB74" s="51" t="str">
        <x:f>IF(AND(ISNUMBER(P74),ISNUMBER(Z74),Z74&gt;0,P74&gt;=0,P74&lt;=Z74),P74/Z74,"")</x:f>
      </x:c>
      <x:c r="AC74" s="51" t="str">
        <x:f>IF(AND(ISNUMBER(Q74),ISNUMBER(Z74),Z74&gt;0,Q74&gt;=0,Q74&lt;=Z74),Q74/Z74,"")</x:f>
      </x:c>
      <x:c r="AD74" s="13" t="str">
        <x:f>IF(AE74&lt;&gt;"纳入","",IF(AND(O74="完成",AC74=1,R74=0,S74="通过",T74="通过",AA74&lt;=AH74),1,0))</x:f>
      </x:c>
      <x:c r="AE74" s="13" t="str">
        <x:f>IF(O74="","待运行",IF(O74="进行中","进行中",IF(NOT(OR(O74="完成",O74="超时",O74="工具故障",O74="主动终止")),"需核对终态",IF(OR('试点设置'!$C$15&lt;&gt;"齐备",INDEX('特性清单'!$P$7:$P$18,MATCH(C74,'特性清单'!$A$7:$A$18,0))&lt;&gt;"齐备",D74&gt;INDEX('特性清单'!$K$7:$K$18,MATCH(C74,'特性清单'!$A$7:$A$18,0))),"待补齐试验设置",IF(NOT(AND(F74&lt;&gt;"",COUNT(G74:N74)=8,COUNT(P74:R74)=3,S74&lt;&gt;"",T74&lt;&gt;"",V74&lt;&gt;"",X74&lt;&gt;"",Y74&lt;&gt;"",AI74&lt;&gt;"")),"待补齐记录",IF(NOT(AND(G74&gt;=1,G74&lt;=4,MOD(G74,1)=0,I74&gt;=H74,MIN(J74:N74)&gt;=0,MOD(M74,1)=0,MOD(N74,1)=0,AA74&gt;=0,K74&lt;=AA74,L74&lt;=K74,MIN(P74:R74)&gt;=0,MOD(P74,1)=0,MOD(Q74,1)=0,MOD(R74,1)=0,P74&lt;=Z74,Q74&lt;=Z74,OR(S74="通过",S74="失败",S74="未完成"),OR(T74="通过",T74="失败",T74="未完成"),OR(AI74="新手",AI74="偶尔使用",AI74="经常使用"),COUNTIFS($A$7:$A$150,A74)=1)),"需核对数值或ID",IF(OR(AND(O74&lt;&gt;"完成",W74=""),AND(J74&gt;0,W74=""),AND(V74&lt;&gt;"一致",W74="")),"待说明原因",IF(V74&lt;&gt;"一致","条件偏差","纳入"))))))))</x:f>
        <x:v>待运行</x:v>
      </x:c>
      <x:c r="AF74" s="13" t="n">
        <x:f>IF(AE74&lt;&gt;"纳入",0,INDEX('配对比较'!$J$7:$J$42,MATCH(B74,'配对比较'!$A$7:$A$42,0)))</x:f>
        <x:v>0</x:v>
      </x:c>
      <x:c r="AG74" s="13" t="n">
        <x:f>IF(AE74&lt;&gt;"纳入",0,INDEX('配对比较'!$L$7:$L$42,MATCH(B74,'配对比较'!$A$7:$A$42,0)))</x:f>
        <x:v>0</x:v>
      </x:c>
      <x:c r="AH74" s="13" t="str">
        <x:f>IF(INDEX('特性清单'!$B$7:$B$18,MATCH(C74,'特性清单'!$A$7:$A$18,0))="","",IF(INDEX('特性清单'!$J$7:$J$18,MATCH(C74,'特性清单'!$A$7:$A$18,0))="","",INDEX('特性清单'!$J$7:$J$18,MATCH(C74,'特性清单'!$A$7:$A$18,0))))</x:f>
      </x:c>
      <x:c r="AI74" s="10"/>
      <x:c r="AJ74" s="13" t="n">
        <x:f>IF(AND(ISNUMBER(U74),U74&gt;=0),1,0)</x:f>
        <x:v>0</x:v>
      </x:c>
      <x:c r="AK74" s="13" t="str">
        <x:f>IF(AE74&lt;&gt;"纳入","",IF(OR(O74="超时",AA74&gt;AH74),1,0))</x:f>
      </x:c>
    </x:row>
    <x:row r="75" ht="25" customHeight="1">
      <x:c r="A75" s="13" t="str">
        <x:v>F06-R3-CC</x:v>
      </x:c>
      <x:c r="B75" s="13" t="str">
        <x:v>F06-R3</x:v>
      </x:c>
      <x:c r="C75" s="13" t="str">
        <x:v>F06</x:v>
      </x:c>
      <x:c r="D75" s="58" t="n">
        <x:v>3</x:v>
      </x:c>
      <x:c r="E75" s="13" t="str">
        <x:v>Claude Code</x:v>
      </x:c>
      <x:c r="F75" s="10"/>
      <x:c r="G75" s="56"/>
      <x:c r="H75" s="45"/>
      <x:c r="I75" s="45"/>
      <x:c r="J75" s="48"/>
      <x:c r="K75" s="48"/>
      <x:c r="L75" s="48"/>
      <x:c r="M75" s="56"/>
      <x:c r="N75" s="56"/>
      <x:c r="O75" s="10"/>
      <x:c r="P75" s="56"/>
      <x:c r="Q75" s="56"/>
      <x:c r="R75" s="56"/>
      <x:c r="S75" s="10"/>
      <x:c r="T75" s="10"/>
      <x:c r="U75" s="53"/>
      <x:c r="V75" s="10"/>
      <x:c r="W75" s="10"/>
      <x:c r="X75" s="10"/>
      <x:c r="Y75" s="10"/>
      <x:c r="Z75" s="13" t="str">
        <x:f>IF(INDEX('特性清单'!$B$7:$B$18,MATCH(C75,'特性清单'!$A$7:$A$18,0))="","",IF(INDEX('特性清单'!$H$7:$H$18,MATCH(C75,'特性清单'!$A$7:$A$18,0))="","",INDEX('特性清单'!$H$7:$H$18,MATCH(C75,'特性清单'!$A$7:$A$18,0))))</x:f>
      </x:c>
      <x:c r="AA75" s="50" t="str">
        <x:f>IF(AND(COUNT(H75:J75)=3,I75&gt;=H75,J75&gt;=0),ROUND((I75-H75)*1440-J75,2),"")</x:f>
      </x:c>
      <x:c r="AB75" s="51" t="str">
        <x:f>IF(AND(ISNUMBER(P75),ISNUMBER(Z75),Z75&gt;0,P75&gt;=0,P75&lt;=Z75),P75/Z75,"")</x:f>
      </x:c>
      <x:c r="AC75" s="51" t="str">
        <x:f>IF(AND(ISNUMBER(Q75),ISNUMBER(Z75),Z75&gt;0,Q75&gt;=0,Q75&lt;=Z75),Q75/Z75,"")</x:f>
      </x:c>
      <x:c r="AD75" s="13" t="str">
        <x:f>IF(AE75&lt;&gt;"纳入","",IF(AND(O75="完成",AC75=1,R75=0,S75="通过",T75="通过",AA75&lt;=AH75),1,0))</x:f>
      </x:c>
      <x:c r="AE75" s="13" t="str">
        <x:f>IF(O75="","待运行",IF(O75="进行中","进行中",IF(NOT(OR(O75="完成",O75="超时",O75="工具故障",O75="主动终止")),"需核对终态",IF(OR('试点设置'!$C$15&lt;&gt;"齐备",INDEX('特性清单'!$P$7:$P$18,MATCH(C75,'特性清单'!$A$7:$A$18,0))&lt;&gt;"齐备",D75&gt;INDEX('特性清单'!$K$7:$K$18,MATCH(C75,'特性清单'!$A$7:$A$18,0))),"待补齐试验设置",IF(NOT(AND(F75&lt;&gt;"",COUNT(G75:N75)=8,COUNT(P75:R75)=3,S75&lt;&gt;"",T75&lt;&gt;"",V75&lt;&gt;"",X75&lt;&gt;"",Y75&lt;&gt;"",AI75&lt;&gt;"")),"待补齐记录",IF(NOT(AND(G75&gt;=1,G75&lt;=4,MOD(G75,1)=0,I75&gt;=H75,MIN(J75:N75)&gt;=0,MOD(M75,1)=0,MOD(N75,1)=0,AA75&gt;=0,K75&lt;=AA75,L75&lt;=K75,MIN(P75:R75)&gt;=0,MOD(P75,1)=0,MOD(Q75,1)=0,MOD(R75,1)=0,P75&lt;=Z75,Q75&lt;=Z75,OR(S75="通过",S75="失败",S75="未完成"),OR(T75="通过",T75="失败",T75="未完成"),OR(AI75="新手",AI75="偶尔使用",AI75="经常使用"),COUNTIFS($A$7:$A$150,A75)=1)),"需核对数值或ID",IF(OR(AND(O75&lt;&gt;"完成",W75=""),AND(J75&gt;0,W75=""),AND(V75&lt;&gt;"一致",W75="")),"待说明原因",IF(V75&lt;&gt;"一致","条件偏差","纳入"))))))))</x:f>
        <x:v>待运行</x:v>
      </x:c>
      <x:c r="AF75" s="13" t="n">
        <x:f>IF(AE75&lt;&gt;"纳入",0,INDEX('配对比较'!$J$7:$J$42,MATCH(B75,'配对比较'!$A$7:$A$42,0)))</x:f>
        <x:v>0</x:v>
      </x:c>
      <x:c r="AG75" s="13" t="n">
        <x:f>IF(AE75&lt;&gt;"纳入",0,INDEX('配对比较'!$L$7:$L$42,MATCH(B75,'配对比较'!$A$7:$A$42,0)))</x:f>
        <x:v>0</x:v>
      </x:c>
      <x:c r="AH75" s="13" t="str">
        <x:f>IF(INDEX('特性清单'!$B$7:$B$18,MATCH(C75,'特性清单'!$A$7:$A$18,0))="","",IF(INDEX('特性清单'!$J$7:$J$18,MATCH(C75,'特性清单'!$A$7:$A$18,0))="","",INDEX('特性清单'!$J$7:$J$18,MATCH(C75,'特性清单'!$A$7:$A$18,0))))</x:f>
      </x:c>
      <x:c r="AI75" s="10"/>
      <x:c r="AJ75" s="13" t="n">
        <x:f>IF(AND(ISNUMBER(U75),U75&gt;=0),1,0)</x:f>
        <x:v>0</x:v>
      </x:c>
      <x:c r="AK75" s="13" t="str">
        <x:f>IF(AE75&lt;&gt;"纳入","",IF(OR(O75="超时",AA75&gt;AH75),1,0))</x:f>
      </x:c>
    </x:row>
    <x:row r="76" ht="25" customHeight="1">
      <x:c r="A76" s="13" t="str">
        <x:v>F06-R3-CX</x:v>
      </x:c>
      <x:c r="B76" s="13" t="str">
        <x:v>F06-R3</x:v>
      </x:c>
      <x:c r="C76" s="13" t="str">
        <x:v>F06</x:v>
      </x:c>
      <x:c r="D76" s="58" t="n">
        <x:v>3</x:v>
      </x:c>
      <x:c r="E76" s="13" t="str">
        <x:v>Codex</x:v>
      </x:c>
      <x:c r="F76" s="10"/>
      <x:c r="G76" s="56"/>
      <x:c r="H76" s="45"/>
      <x:c r="I76" s="45"/>
      <x:c r="J76" s="48"/>
      <x:c r="K76" s="48"/>
      <x:c r="L76" s="48"/>
      <x:c r="M76" s="56"/>
      <x:c r="N76" s="56"/>
      <x:c r="O76" s="10"/>
      <x:c r="P76" s="56"/>
      <x:c r="Q76" s="56"/>
      <x:c r="R76" s="56"/>
      <x:c r="S76" s="10"/>
      <x:c r="T76" s="10"/>
      <x:c r="U76" s="53"/>
      <x:c r="V76" s="10"/>
      <x:c r="W76" s="10"/>
      <x:c r="X76" s="10"/>
      <x:c r="Y76" s="10"/>
      <x:c r="Z76" s="13" t="str">
        <x:f>IF(INDEX('特性清单'!$B$7:$B$18,MATCH(C76,'特性清单'!$A$7:$A$18,0))="","",IF(INDEX('特性清单'!$H$7:$H$18,MATCH(C76,'特性清单'!$A$7:$A$18,0))="","",INDEX('特性清单'!$H$7:$H$18,MATCH(C76,'特性清单'!$A$7:$A$18,0))))</x:f>
      </x:c>
      <x:c r="AA76" s="50" t="str">
        <x:f>IF(AND(COUNT(H76:J76)=3,I76&gt;=H76,J76&gt;=0),ROUND((I76-H76)*1440-J76,2),"")</x:f>
      </x:c>
      <x:c r="AB76" s="51" t="str">
        <x:f>IF(AND(ISNUMBER(P76),ISNUMBER(Z76),Z76&gt;0,P76&gt;=0,P76&lt;=Z76),P76/Z76,"")</x:f>
      </x:c>
      <x:c r="AC76" s="51" t="str">
        <x:f>IF(AND(ISNUMBER(Q76),ISNUMBER(Z76),Z76&gt;0,Q76&gt;=0,Q76&lt;=Z76),Q76/Z76,"")</x:f>
      </x:c>
      <x:c r="AD76" s="13" t="str">
        <x:f>IF(AE76&lt;&gt;"纳入","",IF(AND(O76="完成",AC76=1,R76=0,S76="通过",T76="通过",AA76&lt;=AH76),1,0))</x:f>
      </x:c>
      <x:c r="AE76" s="13" t="str">
        <x:f>IF(O76="","待运行",IF(O76="进行中","进行中",IF(NOT(OR(O76="完成",O76="超时",O76="工具故障",O76="主动终止")),"需核对终态",IF(OR('试点设置'!$C$15&lt;&gt;"齐备",INDEX('特性清单'!$P$7:$P$18,MATCH(C76,'特性清单'!$A$7:$A$18,0))&lt;&gt;"齐备",D76&gt;INDEX('特性清单'!$K$7:$K$18,MATCH(C76,'特性清单'!$A$7:$A$18,0))),"待补齐试验设置",IF(NOT(AND(F76&lt;&gt;"",COUNT(G76:N76)=8,COUNT(P76:R76)=3,S76&lt;&gt;"",T76&lt;&gt;"",V76&lt;&gt;"",X76&lt;&gt;"",Y76&lt;&gt;"",AI76&lt;&gt;"")),"待补齐记录",IF(NOT(AND(G76&gt;=1,G76&lt;=4,MOD(G76,1)=0,I76&gt;=H76,MIN(J76:N76)&gt;=0,MOD(M76,1)=0,MOD(N76,1)=0,AA76&gt;=0,K76&lt;=AA76,L76&lt;=K76,MIN(P76:R76)&gt;=0,MOD(P76,1)=0,MOD(Q76,1)=0,MOD(R76,1)=0,P76&lt;=Z76,Q76&lt;=Z76,OR(S76="通过",S76="失败",S76="未完成"),OR(T76="通过",T76="失败",T76="未完成"),OR(AI76="新手",AI76="偶尔使用",AI76="经常使用"),COUNTIFS($A$7:$A$150,A76)=1)),"需核对数值或ID",IF(OR(AND(O76&lt;&gt;"完成",W76=""),AND(J76&gt;0,W76=""),AND(V76&lt;&gt;"一致",W76="")),"待说明原因",IF(V76&lt;&gt;"一致","条件偏差","纳入"))))))))</x:f>
        <x:v>待运行</x:v>
      </x:c>
      <x:c r="AF76" s="13" t="n">
        <x:f>IF(AE76&lt;&gt;"纳入",0,INDEX('配对比较'!$J$7:$J$42,MATCH(B76,'配对比较'!$A$7:$A$42,0)))</x:f>
        <x:v>0</x:v>
      </x:c>
      <x:c r="AG76" s="13" t="n">
        <x:f>IF(AE76&lt;&gt;"纳入",0,INDEX('配对比较'!$L$7:$L$42,MATCH(B76,'配对比较'!$A$7:$A$42,0)))</x:f>
        <x:v>0</x:v>
      </x:c>
      <x:c r="AH76" s="13" t="str">
        <x:f>IF(INDEX('特性清单'!$B$7:$B$18,MATCH(C76,'特性清单'!$A$7:$A$18,0))="","",IF(INDEX('特性清单'!$J$7:$J$18,MATCH(C76,'特性清单'!$A$7:$A$18,0))="","",INDEX('特性清单'!$J$7:$J$18,MATCH(C76,'特性清单'!$A$7:$A$18,0))))</x:f>
      </x:c>
      <x:c r="AI76" s="10"/>
      <x:c r="AJ76" s="13" t="n">
        <x:f>IF(AND(ISNUMBER(U76),U76&gt;=0),1,0)</x:f>
        <x:v>0</x:v>
      </x:c>
      <x:c r="AK76" s="13" t="str">
        <x:f>IF(AE76&lt;&gt;"纳入","",IF(OR(O76="超时",AA76&gt;AH76),1,0))</x:f>
      </x:c>
    </x:row>
    <x:row r="77" ht="25" customHeight="1">
      <x:c r="A77" s="13" t="str">
        <x:v>F06-R3-TR</x:v>
      </x:c>
      <x:c r="B77" s="13" t="str">
        <x:v>F06-R3</x:v>
      </x:c>
      <x:c r="C77" s="13" t="str">
        <x:v>F06</x:v>
      </x:c>
      <x:c r="D77" s="58" t="n">
        <x:v>3</x:v>
      </x:c>
      <x:c r="E77" s="13" t="str">
        <x:v>Trae</x:v>
      </x:c>
      <x:c r="F77" s="10"/>
      <x:c r="G77" s="56"/>
      <x:c r="H77" s="45"/>
      <x:c r="I77" s="45"/>
      <x:c r="J77" s="48"/>
      <x:c r="K77" s="48"/>
      <x:c r="L77" s="48"/>
      <x:c r="M77" s="56"/>
      <x:c r="N77" s="56"/>
      <x:c r="O77" s="10"/>
      <x:c r="P77" s="56"/>
      <x:c r="Q77" s="56"/>
      <x:c r="R77" s="56"/>
      <x:c r="S77" s="10"/>
      <x:c r="T77" s="10"/>
      <x:c r="U77" s="53"/>
      <x:c r="V77" s="10"/>
      <x:c r="W77" s="10"/>
      <x:c r="X77" s="10"/>
      <x:c r="Y77" s="10"/>
      <x:c r="Z77" s="13" t="str">
        <x:f>IF(INDEX('特性清单'!$B$7:$B$18,MATCH(C77,'特性清单'!$A$7:$A$18,0))="","",IF(INDEX('特性清单'!$H$7:$H$18,MATCH(C77,'特性清单'!$A$7:$A$18,0))="","",INDEX('特性清单'!$H$7:$H$18,MATCH(C77,'特性清单'!$A$7:$A$18,0))))</x:f>
      </x:c>
      <x:c r="AA77" s="50" t="str">
        <x:f>IF(AND(COUNT(H77:J77)=3,I77&gt;=H77,J77&gt;=0),ROUND((I77-H77)*1440-J77,2),"")</x:f>
      </x:c>
      <x:c r="AB77" s="51" t="str">
        <x:f>IF(AND(ISNUMBER(P77),ISNUMBER(Z77),Z77&gt;0,P77&gt;=0,P77&lt;=Z77),P77/Z77,"")</x:f>
      </x:c>
      <x:c r="AC77" s="51" t="str">
        <x:f>IF(AND(ISNUMBER(Q77),ISNUMBER(Z77),Z77&gt;0,Q77&gt;=0,Q77&lt;=Z77),Q77/Z77,"")</x:f>
      </x:c>
      <x:c r="AD77" s="13" t="str">
        <x:f>IF(AE77&lt;&gt;"纳入","",IF(AND(O77="完成",AC77=1,R77=0,S77="通过",T77="通过",AA77&lt;=AH77),1,0))</x:f>
      </x:c>
      <x:c r="AE77" s="13" t="str">
        <x:f>IF(O77="","待运行",IF(O77="进行中","进行中",IF(NOT(OR(O77="完成",O77="超时",O77="工具故障",O77="主动终止")),"需核对终态",IF(OR('试点设置'!$C$15&lt;&gt;"齐备",INDEX('特性清单'!$P$7:$P$18,MATCH(C77,'特性清单'!$A$7:$A$18,0))&lt;&gt;"齐备",D77&gt;INDEX('特性清单'!$K$7:$K$18,MATCH(C77,'特性清单'!$A$7:$A$18,0))),"待补齐试验设置",IF(NOT(AND(F77&lt;&gt;"",COUNT(G77:N77)=8,COUNT(P77:R77)=3,S77&lt;&gt;"",T77&lt;&gt;"",V77&lt;&gt;"",X77&lt;&gt;"",Y77&lt;&gt;"",AI77&lt;&gt;"")),"待补齐记录",IF(NOT(AND(G77&gt;=1,G77&lt;=4,MOD(G77,1)=0,I77&gt;=H77,MIN(J77:N77)&gt;=0,MOD(M77,1)=0,MOD(N77,1)=0,AA77&gt;=0,K77&lt;=AA77,L77&lt;=K77,MIN(P77:R77)&gt;=0,MOD(P77,1)=0,MOD(Q77,1)=0,MOD(R77,1)=0,P77&lt;=Z77,Q77&lt;=Z77,OR(S77="通过",S77="失败",S77="未完成"),OR(T77="通过",T77="失败",T77="未完成"),OR(AI77="新手",AI77="偶尔使用",AI77="经常使用"),COUNTIFS($A$7:$A$150,A77)=1)),"需核对数值或ID",IF(OR(AND(O77&lt;&gt;"完成",W77=""),AND(J77&gt;0,W77=""),AND(V77&lt;&gt;"一致",W77="")),"待说明原因",IF(V77&lt;&gt;"一致","条件偏差","纳入"))))))))</x:f>
        <x:v>待运行</x:v>
      </x:c>
      <x:c r="AF77" s="13" t="n">
        <x:f>IF(AE77&lt;&gt;"纳入",0,INDEX('配对比较'!$J$7:$J$42,MATCH(B77,'配对比较'!$A$7:$A$42,0)))</x:f>
        <x:v>0</x:v>
      </x:c>
      <x:c r="AG77" s="13" t="n">
        <x:f>IF(AE77&lt;&gt;"纳入",0,INDEX('配对比较'!$L$7:$L$42,MATCH(B77,'配对比较'!$A$7:$A$42,0)))</x:f>
        <x:v>0</x:v>
      </x:c>
      <x:c r="AH77" s="13" t="str">
        <x:f>IF(INDEX('特性清单'!$B$7:$B$18,MATCH(C77,'特性清单'!$A$7:$A$18,0))="","",IF(INDEX('特性清单'!$J$7:$J$18,MATCH(C77,'特性清单'!$A$7:$A$18,0))="","",INDEX('特性清单'!$J$7:$J$18,MATCH(C77,'特性清单'!$A$7:$A$18,0))))</x:f>
      </x:c>
      <x:c r="AI77" s="10"/>
      <x:c r="AJ77" s="13" t="n">
        <x:f>IF(AND(ISNUMBER(U77),U77&gt;=0),1,0)</x:f>
        <x:v>0</x:v>
      </x:c>
      <x:c r="AK77" s="13" t="str">
        <x:f>IF(AE77&lt;&gt;"纳入","",IF(OR(O77="超时",AA77&gt;AH77),1,0))</x:f>
      </x:c>
    </x:row>
    <x:row r="78" ht="25" customHeight="1">
      <x:c r="A78" s="13" t="str">
        <x:v>F06-R3-CA</x:v>
      </x:c>
      <x:c r="B78" s="13" t="str">
        <x:v>F06-R3</x:v>
      </x:c>
      <x:c r="C78" s="13" t="str">
        <x:v>F06</x:v>
      </x:c>
      <x:c r="D78" s="58" t="n">
        <x:v>3</x:v>
      </x:c>
      <x:c r="E78" s="13" t="str">
        <x:v>CodeArts</x:v>
      </x:c>
      <x:c r="F78" s="10"/>
      <x:c r="G78" s="56"/>
      <x:c r="H78" s="45"/>
      <x:c r="I78" s="45"/>
      <x:c r="J78" s="48"/>
      <x:c r="K78" s="48"/>
      <x:c r="L78" s="48"/>
      <x:c r="M78" s="56"/>
      <x:c r="N78" s="56"/>
      <x:c r="O78" s="10"/>
      <x:c r="P78" s="56"/>
      <x:c r="Q78" s="56"/>
      <x:c r="R78" s="56"/>
      <x:c r="S78" s="10"/>
      <x:c r="T78" s="10"/>
      <x:c r="U78" s="53"/>
      <x:c r="V78" s="10"/>
      <x:c r="W78" s="10"/>
      <x:c r="X78" s="10"/>
      <x:c r="Y78" s="10"/>
      <x:c r="Z78" s="13" t="str">
        <x:f>IF(INDEX('特性清单'!$B$7:$B$18,MATCH(C78,'特性清单'!$A$7:$A$18,0))="","",IF(INDEX('特性清单'!$H$7:$H$18,MATCH(C78,'特性清单'!$A$7:$A$18,0))="","",INDEX('特性清单'!$H$7:$H$18,MATCH(C78,'特性清单'!$A$7:$A$18,0))))</x:f>
      </x:c>
      <x:c r="AA78" s="50" t="str">
        <x:f>IF(AND(COUNT(H78:J78)=3,I78&gt;=H78,J78&gt;=0),ROUND((I78-H78)*1440-J78,2),"")</x:f>
      </x:c>
      <x:c r="AB78" s="51" t="str">
        <x:f>IF(AND(ISNUMBER(P78),ISNUMBER(Z78),Z78&gt;0,P78&gt;=0,P78&lt;=Z78),P78/Z78,"")</x:f>
      </x:c>
      <x:c r="AC78" s="51" t="str">
        <x:f>IF(AND(ISNUMBER(Q78),ISNUMBER(Z78),Z78&gt;0,Q78&gt;=0,Q78&lt;=Z78),Q78/Z78,"")</x:f>
      </x:c>
      <x:c r="AD78" s="13" t="str">
        <x:f>IF(AE78&lt;&gt;"纳入","",IF(AND(O78="完成",AC78=1,R78=0,S78="通过",T78="通过",AA78&lt;=AH78),1,0))</x:f>
      </x:c>
      <x:c r="AE78" s="13" t="str">
        <x:f>IF(O78="","待运行",IF(O78="进行中","进行中",IF(NOT(OR(O78="完成",O78="超时",O78="工具故障",O78="主动终止")),"需核对终态",IF(OR('试点设置'!$C$15&lt;&gt;"齐备",INDEX('特性清单'!$P$7:$P$18,MATCH(C78,'特性清单'!$A$7:$A$18,0))&lt;&gt;"齐备",D78&gt;INDEX('特性清单'!$K$7:$K$18,MATCH(C78,'特性清单'!$A$7:$A$18,0))),"待补齐试验设置",IF(NOT(AND(F78&lt;&gt;"",COUNT(G78:N78)=8,COUNT(P78:R78)=3,S78&lt;&gt;"",T78&lt;&gt;"",V78&lt;&gt;"",X78&lt;&gt;"",Y78&lt;&gt;"",AI78&lt;&gt;"")),"待补齐记录",IF(NOT(AND(G78&gt;=1,G78&lt;=4,MOD(G78,1)=0,I78&gt;=H78,MIN(J78:N78)&gt;=0,MOD(M78,1)=0,MOD(N78,1)=0,AA78&gt;=0,K78&lt;=AA78,L78&lt;=K78,MIN(P78:R78)&gt;=0,MOD(P78,1)=0,MOD(Q78,1)=0,MOD(R78,1)=0,P78&lt;=Z78,Q78&lt;=Z78,OR(S78="通过",S78="失败",S78="未完成"),OR(T78="通过",T78="失败",T78="未完成"),OR(AI78="新手",AI78="偶尔使用",AI78="经常使用"),COUNTIFS($A$7:$A$150,A78)=1)),"需核对数值或ID",IF(OR(AND(O78&lt;&gt;"完成",W78=""),AND(J78&gt;0,W78=""),AND(V78&lt;&gt;"一致",W78="")),"待说明原因",IF(V78&lt;&gt;"一致","条件偏差","纳入"))))))))</x:f>
        <x:v>待运行</x:v>
      </x:c>
      <x:c r="AF78" s="13" t="n">
        <x:f>IF(AE78&lt;&gt;"纳入",0,INDEX('配对比较'!$J$7:$J$42,MATCH(B78,'配对比较'!$A$7:$A$42,0)))</x:f>
        <x:v>0</x:v>
      </x:c>
      <x:c r="AG78" s="13" t="n">
        <x:f>IF(AE78&lt;&gt;"纳入",0,INDEX('配对比较'!$L$7:$L$42,MATCH(B78,'配对比较'!$A$7:$A$42,0)))</x:f>
        <x:v>0</x:v>
      </x:c>
      <x:c r="AH78" s="13" t="str">
        <x:f>IF(INDEX('特性清单'!$B$7:$B$18,MATCH(C78,'特性清单'!$A$7:$A$18,0))="","",IF(INDEX('特性清单'!$J$7:$J$18,MATCH(C78,'特性清单'!$A$7:$A$18,0))="","",INDEX('特性清单'!$J$7:$J$18,MATCH(C78,'特性清单'!$A$7:$A$18,0))))</x:f>
      </x:c>
      <x:c r="AI78" s="10"/>
      <x:c r="AJ78" s="13" t="n">
        <x:f>IF(AND(ISNUMBER(U78),U78&gt;=0),1,0)</x:f>
        <x:v>0</x:v>
      </x:c>
      <x:c r="AK78" s="13" t="str">
        <x:f>IF(AE78&lt;&gt;"纳入","",IF(OR(O78="超时",AA78&gt;AH78),1,0))</x:f>
      </x:c>
    </x:row>
    <x:row r="79" ht="25" customHeight="1">
      <x:c r="A79" s="13" t="str">
        <x:v>F07-R1-CC</x:v>
      </x:c>
      <x:c r="B79" s="13" t="str">
        <x:v>F07-R1</x:v>
      </x:c>
      <x:c r="C79" s="13" t="str">
        <x:v>F07</x:v>
      </x:c>
      <x:c r="D79" s="58" t="n">
        <x:v>1</x:v>
      </x:c>
      <x:c r="E79" s="13" t="str">
        <x:v>Claude Code</x:v>
      </x:c>
      <x:c r="F79" s="10"/>
      <x:c r="G79" s="56"/>
      <x:c r="H79" s="45"/>
      <x:c r="I79" s="45"/>
      <x:c r="J79" s="48"/>
      <x:c r="K79" s="48"/>
      <x:c r="L79" s="48"/>
      <x:c r="M79" s="56"/>
      <x:c r="N79" s="56"/>
      <x:c r="O79" s="10"/>
      <x:c r="P79" s="56"/>
      <x:c r="Q79" s="56"/>
      <x:c r="R79" s="56"/>
      <x:c r="S79" s="10"/>
      <x:c r="T79" s="10"/>
      <x:c r="U79" s="53"/>
      <x:c r="V79" s="10"/>
      <x:c r="W79" s="10"/>
      <x:c r="X79" s="10"/>
      <x:c r="Y79" s="10"/>
      <x:c r="Z79" s="13" t="str">
        <x:f>IF(INDEX('特性清单'!$B$7:$B$18,MATCH(C79,'特性清单'!$A$7:$A$18,0))="","",IF(INDEX('特性清单'!$H$7:$H$18,MATCH(C79,'特性清单'!$A$7:$A$18,0))="","",INDEX('特性清单'!$H$7:$H$18,MATCH(C79,'特性清单'!$A$7:$A$18,0))))</x:f>
      </x:c>
      <x:c r="AA79" s="50" t="str">
        <x:f>IF(AND(COUNT(H79:J79)=3,I79&gt;=H79,J79&gt;=0),ROUND((I79-H79)*1440-J79,2),"")</x:f>
      </x:c>
      <x:c r="AB79" s="51" t="str">
        <x:f>IF(AND(ISNUMBER(P79),ISNUMBER(Z79),Z79&gt;0,P79&gt;=0,P79&lt;=Z79),P79/Z79,"")</x:f>
      </x:c>
      <x:c r="AC79" s="51" t="str">
        <x:f>IF(AND(ISNUMBER(Q79),ISNUMBER(Z79),Z79&gt;0,Q79&gt;=0,Q79&lt;=Z79),Q79/Z79,"")</x:f>
      </x:c>
      <x:c r="AD79" s="13" t="str">
        <x:f>IF(AE79&lt;&gt;"纳入","",IF(AND(O79="完成",AC79=1,R79=0,S79="通过",T79="通过",AA79&lt;=AH79),1,0))</x:f>
      </x:c>
      <x:c r="AE79" s="13" t="str">
        <x:f>IF(O79="","待运行",IF(O79="进行中","进行中",IF(NOT(OR(O79="完成",O79="超时",O79="工具故障",O79="主动终止")),"需核对终态",IF(OR('试点设置'!$C$15&lt;&gt;"齐备",INDEX('特性清单'!$P$7:$P$18,MATCH(C79,'特性清单'!$A$7:$A$18,0))&lt;&gt;"齐备",D79&gt;INDEX('特性清单'!$K$7:$K$18,MATCH(C79,'特性清单'!$A$7:$A$18,0))),"待补齐试验设置",IF(NOT(AND(F79&lt;&gt;"",COUNT(G79:N79)=8,COUNT(P79:R79)=3,S79&lt;&gt;"",T79&lt;&gt;"",V79&lt;&gt;"",X79&lt;&gt;"",Y79&lt;&gt;"",AI79&lt;&gt;"")),"待补齐记录",IF(NOT(AND(G79&gt;=1,G79&lt;=4,MOD(G79,1)=0,I79&gt;=H79,MIN(J79:N79)&gt;=0,MOD(M79,1)=0,MOD(N79,1)=0,AA79&gt;=0,K79&lt;=AA79,L79&lt;=K79,MIN(P79:R79)&gt;=0,MOD(P79,1)=0,MOD(Q79,1)=0,MOD(R79,1)=0,P79&lt;=Z79,Q79&lt;=Z79,OR(S79="通过",S79="失败",S79="未完成"),OR(T79="通过",T79="失败",T79="未完成"),OR(AI79="新手",AI79="偶尔使用",AI79="经常使用"),COUNTIFS($A$7:$A$150,A79)=1)),"需核对数值或ID",IF(OR(AND(O79&lt;&gt;"完成",W79=""),AND(J79&gt;0,W79=""),AND(V79&lt;&gt;"一致",W79="")),"待说明原因",IF(V79&lt;&gt;"一致","条件偏差","纳入"))))))))</x:f>
        <x:v>待运行</x:v>
      </x:c>
      <x:c r="AF79" s="13" t="n">
        <x:f>IF(AE79&lt;&gt;"纳入",0,INDEX('配对比较'!$J$7:$J$42,MATCH(B79,'配对比较'!$A$7:$A$42,0)))</x:f>
        <x:v>0</x:v>
      </x:c>
      <x:c r="AG79" s="13" t="n">
        <x:f>IF(AE79&lt;&gt;"纳入",0,INDEX('配对比较'!$L$7:$L$42,MATCH(B79,'配对比较'!$A$7:$A$42,0)))</x:f>
        <x:v>0</x:v>
      </x:c>
      <x:c r="AH79" s="13" t="str">
        <x:f>IF(INDEX('特性清单'!$B$7:$B$18,MATCH(C79,'特性清单'!$A$7:$A$18,0))="","",IF(INDEX('特性清单'!$J$7:$J$18,MATCH(C79,'特性清单'!$A$7:$A$18,0))="","",INDEX('特性清单'!$J$7:$J$18,MATCH(C79,'特性清单'!$A$7:$A$18,0))))</x:f>
      </x:c>
      <x:c r="AI79" s="10"/>
      <x:c r="AJ79" s="13" t="n">
        <x:f>IF(AND(ISNUMBER(U79),U79&gt;=0),1,0)</x:f>
        <x:v>0</x:v>
      </x:c>
      <x:c r="AK79" s="13" t="str">
        <x:f>IF(AE79&lt;&gt;"纳入","",IF(OR(O79="超时",AA79&gt;AH79),1,0))</x:f>
      </x:c>
    </x:row>
    <x:row r="80" ht="25" customHeight="1">
      <x:c r="A80" s="13" t="str">
        <x:v>F07-R1-CX</x:v>
      </x:c>
      <x:c r="B80" s="13" t="str">
        <x:v>F07-R1</x:v>
      </x:c>
      <x:c r="C80" s="13" t="str">
        <x:v>F07</x:v>
      </x:c>
      <x:c r="D80" s="58" t="n">
        <x:v>1</x:v>
      </x:c>
      <x:c r="E80" s="13" t="str">
        <x:v>Codex</x:v>
      </x:c>
      <x:c r="F80" s="10"/>
      <x:c r="G80" s="56"/>
      <x:c r="H80" s="45"/>
      <x:c r="I80" s="45"/>
      <x:c r="J80" s="48"/>
      <x:c r="K80" s="48"/>
      <x:c r="L80" s="48"/>
      <x:c r="M80" s="56"/>
      <x:c r="N80" s="56"/>
      <x:c r="O80" s="10"/>
      <x:c r="P80" s="56"/>
      <x:c r="Q80" s="56"/>
      <x:c r="R80" s="56"/>
      <x:c r="S80" s="10"/>
      <x:c r="T80" s="10"/>
      <x:c r="U80" s="53"/>
      <x:c r="V80" s="10"/>
      <x:c r="W80" s="10"/>
      <x:c r="X80" s="10"/>
      <x:c r="Y80" s="10"/>
      <x:c r="Z80" s="13" t="str">
        <x:f>IF(INDEX('特性清单'!$B$7:$B$18,MATCH(C80,'特性清单'!$A$7:$A$18,0))="","",IF(INDEX('特性清单'!$H$7:$H$18,MATCH(C80,'特性清单'!$A$7:$A$18,0))="","",INDEX('特性清单'!$H$7:$H$18,MATCH(C80,'特性清单'!$A$7:$A$18,0))))</x:f>
      </x:c>
      <x:c r="AA80" s="50" t="str">
        <x:f>IF(AND(COUNT(H80:J80)=3,I80&gt;=H80,J80&gt;=0),ROUND((I80-H80)*1440-J80,2),"")</x:f>
      </x:c>
      <x:c r="AB80" s="51" t="str">
        <x:f>IF(AND(ISNUMBER(P80),ISNUMBER(Z80),Z80&gt;0,P80&gt;=0,P80&lt;=Z80),P80/Z80,"")</x:f>
      </x:c>
      <x:c r="AC80" s="51" t="str">
        <x:f>IF(AND(ISNUMBER(Q80),ISNUMBER(Z80),Z80&gt;0,Q80&gt;=0,Q80&lt;=Z80),Q80/Z80,"")</x:f>
      </x:c>
      <x:c r="AD80" s="13" t="str">
        <x:f>IF(AE80&lt;&gt;"纳入","",IF(AND(O80="完成",AC80=1,R80=0,S80="通过",T80="通过",AA80&lt;=AH80),1,0))</x:f>
      </x:c>
      <x:c r="AE80" s="13" t="str">
        <x:f>IF(O80="","待运行",IF(O80="进行中","进行中",IF(NOT(OR(O80="完成",O80="超时",O80="工具故障",O80="主动终止")),"需核对终态",IF(OR('试点设置'!$C$15&lt;&gt;"齐备",INDEX('特性清单'!$P$7:$P$18,MATCH(C80,'特性清单'!$A$7:$A$18,0))&lt;&gt;"齐备",D80&gt;INDEX('特性清单'!$K$7:$K$18,MATCH(C80,'特性清单'!$A$7:$A$18,0))),"待补齐试验设置",IF(NOT(AND(F80&lt;&gt;"",COUNT(G80:N80)=8,COUNT(P80:R80)=3,S80&lt;&gt;"",T80&lt;&gt;"",V80&lt;&gt;"",X80&lt;&gt;"",Y80&lt;&gt;"",AI80&lt;&gt;"")),"待补齐记录",IF(NOT(AND(G80&gt;=1,G80&lt;=4,MOD(G80,1)=0,I80&gt;=H80,MIN(J80:N80)&gt;=0,MOD(M80,1)=0,MOD(N80,1)=0,AA80&gt;=0,K80&lt;=AA80,L80&lt;=K80,MIN(P80:R80)&gt;=0,MOD(P80,1)=0,MOD(Q80,1)=0,MOD(R80,1)=0,P80&lt;=Z80,Q80&lt;=Z80,OR(S80="通过",S80="失败",S80="未完成"),OR(T80="通过",T80="失败",T80="未完成"),OR(AI80="新手",AI80="偶尔使用",AI80="经常使用"),COUNTIFS($A$7:$A$150,A80)=1)),"需核对数值或ID",IF(OR(AND(O80&lt;&gt;"完成",W80=""),AND(J80&gt;0,W80=""),AND(V80&lt;&gt;"一致",W80="")),"待说明原因",IF(V80&lt;&gt;"一致","条件偏差","纳入"))))))))</x:f>
        <x:v>待运行</x:v>
      </x:c>
      <x:c r="AF80" s="13" t="n">
        <x:f>IF(AE80&lt;&gt;"纳入",0,INDEX('配对比较'!$J$7:$J$42,MATCH(B80,'配对比较'!$A$7:$A$42,0)))</x:f>
        <x:v>0</x:v>
      </x:c>
      <x:c r="AG80" s="13" t="n">
        <x:f>IF(AE80&lt;&gt;"纳入",0,INDEX('配对比较'!$L$7:$L$42,MATCH(B80,'配对比较'!$A$7:$A$42,0)))</x:f>
        <x:v>0</x:v>
      </x:c>
      <x:c r="AH80" s="13" t="str">
        <x:f>IF(INDEX('特性清单'!$B$7:$B$18,MATCH(C80,'特性清单'!$A$7:$A$18,0))="","",IF(INDEX('特性清单'!$J$7:$J$18,MATCH(C80,'特性清单'!$A$7:$A$18,0))="","",INDEX('特性清单'!$J$7:$J$18,MATCH(C80,'特性清单'!$A$7:$A$18,0))))</x:f>
      </x:c>
      <x:c r="AI80" s="10"/>
      <x:c r="AJ80" s="13" t="n">
        <x:f>IF(AND(ISNUMBER(U80),U80&gt;=0),1,0)</x:f>
        <x:v>0</x:v>
      </x:c>
      <x:c r="AK80" s="13" t="str">
        <x:f>IF(AE80&lt;&gt;"纳入","",IF(OR(O80="超时",AA80&gt;AH80),1,0))</x:f>
      </x:c>
    </x:row>
    <x:row r="81" ht="25" customHeight="1">
      <x:c r="A81" s="13" t="str">
        <x:v>F07-R1-TR</x:v>
      </x:c>
      <x:c r="B81" s="13" t="str">
        <x:v>F07-R1</x:v>
      </x:c>
      <x:c r="C81" s="13" t="str">
        <x:v>F07</x:v>
      </x:c>
      <x:c r="D81" s="58" t="n">
        <x:v>1</x:v>
      </x:c>
      <x:c r="E81" s="13" t="str">
        <x:v>Trae</x:v>
      </x:c>
      <x:c r="F81" s="10"/>
      <x:c r="G81" s="56"/>
      <x:c r="H81" s="45"/>
      <x:c r="I81" s="45"/>
      <x:c r="J81" s="48"/>
      <x:c r="K81" s="48"/>
      <x:c r="L81" s="48"/>
      <x:c r="M81" s="56"/>
      <x:c r="N81" s="56"/>
      <x:c r="O81" s="10"/>
      <x:c r="P81" s="56"/>
      <x:c r="Q81" s="56"/>
      <x:c r="R81" s="56"/>
      <x:c r="S81" s="10"/>
      <x:c r="T81" s="10"/>
      <x:c r="U81" s="53"/>
      <x:c r="V81" s="10"/>
      <x:c r="W81" s="10"/>
      <x:c r="X81" s="10"/>
      <x:c r="Y81" s="10"/>
      <x:c r="Z81" s="13" t="str">
        <x:f>IF(INDEX('特性清单'!$B$7:$B$18,MATCH(C81,'特性清单'!$A$7:$A$18,0))="","",IF(INDEX('特性清单'!$H$7:$H$18,MATCH(C81,'特性清单'!$A$7:$A$18,0))="","",INDEX('特性清单'!$H$7:$H$18,MATCH(C81,'特性清单'!$A$7:$A$18,0))))</x:f>
      </x:c>
      <x:c r="AA81" s="50" t="str">
        <x:f>IF(AND(COUNT(H81:J81)=3,I81&gt;=H81,J81&gt;=0),ROUND((I81-H81)*1440-J81,2),"")</x:f>
      </x:c>
      <x:c r="AB81" s="51" t="str">
        <x:f>IF(AND(ISNUMBER(P81),ISNUMBER(Z81),Z81&gt;0,P81&gt;=0,P81&lt;=Z81),P81/Z81,"")</x:f>
      </x:c>
      <x:c r="AC81" s="51" t="str">
        <x:f>IF(AND(ISNUMBER(Q81),ISNUMBER(Z81),Z81&gt;0,Q81&gt;=0,Q81&lt;=Z81),Q81/Z81,"")</x:f>
      </x:c>
      <x:c r="AD81" s="13" t="str">
        <x:f>IF(AE81&lt;&gt;"纳入","",IF(AND(O81="完成",AC81=1,R81=0,S81="通过",T81="通过",AA81&lt;=AH81),1,0))</x:f>
      </x:c>
      <x:c r="AE81" s="13" t="str">
        <x:f>IF(O81="","待运行",IF(O81="进行中","进行中",IF(NOT(OR(O81="完成",O81="超时",O81="工具故障",O81="主动终止")),"需核对终态",IF(OR('试点设置'!$C$15&lt;&gt;"齐备",INDEX('特性清单'!$P$7:$P$18,MATCH(C81,'特性清单'!$A$7:$A$18,0))&lt;&gt;"齐备",D81&gt;INDEX('特性清单'!$K$7:$K$18,MATCH(C81,'特性清单'!$A$7:$A$18,0))),"待补齐试验设置",IF(NOT(AND(F81&lt;&gt;"",COUNT(G81:N81)=8,COUNT(P81:R81)=3,S81&lt;&gt;"",T81&lt;&gt;"",V81&lt;&gt;"",X81&lt;&gt;"",Y81&lt;&gt;"",AI81&lt;&gt;"")),"待补齐记录",IF(NOT(AND(G81&gt;=1,G81&lt;=4,MOD(G81,1)=0,I81&gt;=H81,MIN(J81:N81)&gt;=0,MOD(M81,1)=0,MOD(N81,1)=0,AA81&gt;=0,K81&lt;=AA81,L81&lt;=K81,MIN(P81:R81)&gt;=0,MOD(P81,1)=0,MOD(Q81,1)=0,MOD(R81,1)=0,P81&lt;=Z81,Q81&lt;=Z81,OR(S81="通过",S81="失败",S81="未完成"),OR(T81="通过",T81="失败",T81="未完成"),OR(AI81="新手",AI81="偶尔使用",AI81="经常使用"),COUNTIFS($A$7:$A$150,A81)=1)),"需核对数值或ID",IF(OR(AND(O81&lt;&gt;"完成",W81=""),AND(J81&gt;0,W81=""),AND(V81&lt;&gt;"一致",W81="")),"待说明原因",IF(V81&lt;&gt;"一致","条件偏差","纳入"))))))))</x:f>
        <x:v>待运行</x:v>
      </x:c>
      <x:c r="AF81" s="13" t="n">
        <x:f>IF(AE81&lt;&gt;"纳入",0,INDEX('配对比较'!$J$7:$J$42,MATCH(B81,'配对比较'!$A$7:$A$42,0)))</x:f>
        <x:v>0</x:v>
      </x:c>
      <x:c r="AG81" s="13" t="n">
        <x:f>IF(AE81&lt;&gt;"纳入",0,INDEX('配对比较'!$L$7:$L$42,MATCH(B81,'配对比较'!$A$7:$A$42,0)))</x:f>
        <x:v>0</x:v>
      </x:c>
      <x:c r="AH81" s="13" t="str">
        <x:f>IF(INDEX('特性清单'!$B$7:$B$18,MATCH(C81,'特性清单'!$A$7:$A$18,0))="","",IF(INDEX('特性清单'!$J$7:$J$18,MATCH(C81,'特性清单'!$A$7:$A$18,0))="","",INDEX('特性清单'!$J$7:$J$18,MATCH(C81,'特性清单'!$A$7:$A$18,0))))</x:f>
      </x:c>
      <x:c r="AI81" s="10"/>
      <x:c r="AJ81" s="13" t="n">
        <x:f>IF(AND(ISNUMBER(U81),U81&gt;=0),1,0)</x:f>
        <x:v>0</x:v>
      </x:c>
      <x:c r="AK81" s="13" t="str">
        <x:f>IF(AE81&lt;&gt;"纳入","",IF(OR(O81="超时",AA81&gt;AH81),1,0))</x:f>
      </x:c>
    </x:row>
    <x:row r="82" ht="25" customHeight="1">
      <x:c r="A82" s="13" t="str">
        <x:v>F07-R1-CA</x:v>
      </x:c>
      <x:c r="B82" s="13" t="str">
        <x:v>F07-R1</x:v>
      </x:c>
      <x:c r="C82" s="13" t="str">
        <x:v>F07</x:v>
      </x:c>
      <x:c r="D82" s="58" t="n">
        <x:v>1</x:v>
      </x:c>
      <x:c r="E82" s="13" t="str">
        <x:v>CodeArts</x:v>
      </x:c>
      <x:c r="F82" s="10"/>
      <x:c r="G82" s="56"/>
      <x:c r="H82" s="45"/>
      <x:c r="I82" s="45"/>
      <x:c r="J82" s="48"/>
      <x:c r="K82" s="48"/>
      <x:c r="L82" s="48"/>
      <x:c r="M82" s="56"/>
      <x:c r="N82" s="56"/>
      <x:c r="O82" s="10"/>
      <x:c r="P82" s="56"/>
      <x:c r="Q82" s="56"/>
      <x:c r="R82" s="56"/>
      <x:c r="S82" s="10"/>
      <x:c r="T82" s="10"/>
      <x:c r="U82" s="53"/>
      <x:c r="V82" s="10"/>
      <x:c r="W82" s="10"/>
      <x:c r="X82" s="10"/>
      <x:c r="Y82" s="10"/>
      <x:c r="Z82" s="13" t="str">
        <x:f>IF(INDEX('特性清单'!$B$7:$B$18,MATCH(C82,'特性清单'!$A$7:$A$18,0))="","",IF(INDEX('特性清单'!$H$7:$H$18,MATCH(C82,'特性清单'!$A$7:$A$18,0))="","",INDEX('特性清单'!$H$7:$H$18,MATCH(C82,'特性清单'!$A$7:$A$18,0))))</x:f>
      </x:c>
      <x:c r="AA82" s="50" t="str">
        <x:f>IF(AND(COUNT(H82:J82)=3,I82&gt;=H82,J82&gt;=0),ROUND((I82-H82)*1440-J82,2),"")</x:f>
      </x:c>
      <x:c r="AB82" s="51" t="str">
        <x:f>IF(AND(ISNUMBER(P82),ISNUMBER(Z82),Z82&gt;0,P82&gt;=0,P82&lt;=Z82),P82/Z82,"")</x:f>
      </x:c>
      <x:c r="AC82" s="51" t="str">
        <x:f>IF(AND(ISNUMBER(Q82),ISNUMBER(Z82),Z82&gt;0,Q82&gt;=0,Q82&lt;=Z82),Q82/Z82,"")</x:f>
      </x:c>
      <x:c r="AD82" s="13" t="str">
        <x:f>IF(AE82&lt;&gt;"纳入","",IF(AND(O82="完成",AC82=1,R82=0,S82="通过",T82="通过",AA82&lt;=AH82),1,0))</x:f>
      </x:c>
      <x:c r="AE82" s="13" t="str">
        <x:f>IF(O82="","待运行",IF(O82="进行中","进行中",IF(NOT(OR(O82="完成",O82="超时",O82="工具故障",O82="主动终止")),"需核对终态",IF(OR('试点设置'!$C$15&lt;&gt;"齐备",INDEX('特性清单'!$P$7:$P$18,MATCH(C82,'特性清单'!$A$7:$A$18,0))&lt;&gt;"齐备",D82&gt;INDEX('特性清单'!$K$7:$K$18,MATCH(C82,'特性清单'!$A$7:$A$18,0))),"待补齐试验设置",IF(NOT(AND(F82&lt;&gt;"",COUNT(G82:N82)=8,COUNT(P82:R82)=3,S82&lt;&gt;"",T82&lt;&gt;"",V82&lt;&gt;"",X82&lt;&gt;"",Y82&lt;&gt;"",AI82&lt;&gt;"")),"待补齐记录",IF(NOT(AND(G82&gt;=1,G82&lt;=4,MOD(G82,1)=0,I82&gt;=H82,MIN(J82:N82)&gt;=0,MOD(M82,1)=0,MOD(N82,1)=0,AA82&gt;=0,K82&lt;=AA82,L82&lt;=K82,MIN(P82:R82)&gt;=0,MOD(P82,1)=0,MOD(Q82,1)=0,MOD(R82,1)=0,P82&lt;=Z82,Q82&lt;=Z82,OR(S82="通过",S82="失败",S82="未完成"),OR(T82="通过",T82="失败",T82="未完成"),OR(AI82="新手",AI82="偶尔使用",AI82="经常使用"),COUNTIFS($A$7:$A$150,A82)=1)),"需核对数值或ID",IF(OR(AND(O82&lt;&gt;"完成",W82=""),AND(J82&gt;0,W82=""),AND(V82&lt;&gt;"一致",W82="")),"待说明原因",IF(V82&lt;&gt;"一致","条件偏差","纳入"))))))))</x:f>
        <x:v>待运行</x:v>
      </x:c>
      <x:c r="AF82" s="13" t="n">
        <x:f>IF(AE82&lt;&gt;"纳入",0,INDEX('配对比较'!$J$7:$J$42,MATCH(B82,'配对比较'!$A$7:$A$42,0)))</x:f>
        <x:v>0</x:v>
      </x:c>
      <x:c r="AG82" s="13" t="n">
        <x:f>IF(AE82&lt;&gt;"纳入",0,INDEX('配对比较'!$L$7:$L$42,MATCH(B82,'配对比较'!$A$7:$A$42,0)))</x:f>
        <x:v>0</x:v>
      </x:c>
      <x:c r="AH82" s="13" t="str">
        <x:f>IF(INDEX('特性清单'!$B$7:$B$18,MATCH(C82,'特性清单'!$A$7:$A$18,0))="","",IF(INDEX('特性清单'!$J$7:$J$18,MATCH(C82,'特性清单'!$A$7:$A$18,0))="","",INDEX('特性清单'!$J$7:$J$18,MATCH(C82,'特性清单'!$A$7:$A$18,0))))</x:f>
      </x:c>
      <x:c r="AI82" s="10"/>
      <x:c r="AJ82" s="13" t="n">
        <x:f>IF(AND(ISNUMBER(U82),U82&gt;=0),1,0)</x:f>
        <x:v>0</x:v>
      </x:c>
      <x:c r="AK82" s="13" t="str">
        <x:f>IF(AE82&lt;&gt;"纳入","",IF(OR(O82="超时",AA82&gt;AH82),1,0))</x:f>
      </x:c>
    </x:row>
    <x:row r="83" ht="25" customHeight="1">
      <x:c r="A83" s="13" t="str">
        <x:v>F07-R2-CC</x:v>
      </x:c>
      <x:c r="B83" s="13" t="str">
        <x:v>F07-R2</x:v>
      </x:c>
      <x:c r="C83" s="13" t="str">
        <x:v>F07</x:v>
      </x:c>
      <x:c r="D83" s="58" t="n">
        <x:v>2</x:v>
      </x:c>
      <x:c r="E83" s="13" t="str">
        <x:v>Claude Code</x:v>
      </x:c>
      <x:c r="F83" s="10"/>
      <x:c r="G83" s="56"/>
      <x:c r="H83" s="45"/>
      <x:c r="I83" s="45"/>
      <x:c r="J83" s="48"/>
      <x:c r="K83" s="48"/>
      <x:c r="L83" s="48"/>
      <x:c r="M83" s="56"/>
      <x:c r="N83" s="56"/>
      <x:c r="O83" s="10"/>
      <x:c r="P83" s="56"/>
      <x:c r="Q83" s="56"/>
      <x:c r="R83" s="56"/>
      <x:c r="S83" s="10"/>
      <x:c r="T83" s="10"/>
      <x:c r="U83" s="53"/>
      <x:c r="V83" s="10"/>
      <x:c r="W83" s="10"/>
      <x:c r="X83" s="10"/>
      <x:c r="Y83" s="10"/>
      <x:c r="Z83" s="13" t="str">
        <x:f>IF(INDEX('特性清单'!$B$7:$B$18,MATCH(C83,'特性清单'!$A$7:$A$18,0))="","",IF(INDEX('特性清单'!$H$7:$H$18,MATCH(C83,'特性清单'!$A$7:$A$18,0))="","",INDEX('特性清单'!$H$7:$H$18,MATCH(C83,'特性清单'!$A$7:$A$18,0))))</x:f>
      </x:c>
      <x:c r="AA83" s="50" t="str">
        <x:f>IF(AND(COUNT(H83:J83)=3,I83&gt;=H83,J83&gt;=0),ROUND((I83-H83)*1440-J83,2),"")</x:f>
      </x:c>
      <x:c r="AB83" s="51" t="str">
        <x:f>IF(AND(ISNUMBER(P83),ISNUMBER(Z83),Z83&gt;0,P83&gt;=0,P83&lt;=Z83),P83/Z83,"")</x:f>
      </x:c>
      <x:c r="AC83" s="51" t="str">
        <x:f>IF(AND(ISNUMBER(Q83),ISNUMBER(Z83),Z83&gt;0,Q83&gt;=0,Q83&lt;=Z83),Q83/Z83,"")</x:f>
      </x:c>
      <x:c r="AD83" s="13" t="str">
        <x:f>IF(AE83&lt;&gt;"纳入","",IF(AND(O83="完成",AC83=1,R83=0,S83="通过",T83="通过",AA83&lt;=AH83),1,0))</x:f>
      </x:c>
      <x:c r="AE83" s="13" t="str">
        <x:f>IF(O83="","待运行",IF(O83="进行中","进行中",IF(NOT(OR(O83="完成",O83="超时",O83="工具故障",O83="主动终止")),"需核对终态",IF(OR('试点设置'!$C$15&lt;&gt;"齐备",INDEX('特性清单'!$P$7:$P$18,MATCH(C83,'特性清单'!$A$7:$A$18,0))&lt;&gt;"齐备",D83&gt;INDEX('特性清单'!$K$7:$K$18,MATCH(C83,'特性清单'!$A$7:$A$18,0))),"待补齐试验设置",IF(NOT(AND(F83&lt;&gt;"",COUNT(G83:N83)=8,COUNT(P83:R83)=3,S83&lt;&gt;"",T83&lt;&gt;"",V83&lt;&gt;"",X83&lt;&gt;"",Y83&lt;&gt;"",AI83&lt;&gt;"")),"待补齐记录",IF(NOT(AND(G83&gt;=1,G83&lt;=4,MOD(G83,1)=0,I83&gt;=H83,MIN(J83:N83)&gt;=0,MOD(M83,1)=0,MOD(N83,1)=0,AA83&gt;=0,K83&lt;=AA83,L83&lt;=K83,MIN(P83:R83)&gt;=0,MOD(P83,1)=0,MOD(Q83,1)=0,MOD(R83,1)=0,P83&lt;=Z83,Q83&lt;=Z83,OR(S83="通过",S83="失败",S83="未完成"),OR(T83="通过",T83="失败",T83="未完成"),OR(AI83="新手",AI83="偶尔使用",AI83="经常使用"),COUNTIFS($A$7:$A$150,A83)=1)),"需核对数值或ID",IF(OR(AND(O83&lt;&gt;"完成",W83=""),AND(J83&gt;0,W83=""),AND(V83&lt;&gt;"一致",W83="")),"待说明原因",IF(V83&lt;&gt;"一致","条件偏差","纳入"))))))))</x:f>
        <x:v>待运行</x:v>
      </x:c>
      <x:c r="AF83" s="13" t="n">
        <x:f>IF(AE83&lt;&gt;"纳入",0,INDEX('配对比较'!$J$7:$J$42,MATCH(B83,'配对比较'!$A$7:$A$42,0)))</x:f>
        <x:v>0</x:v>
      </x:c>
      <x:c r="AG83" s="13" t="n">
        <x:f>IF(AE83&lt;&gt;"纳入",0,INDEX('配对比较'!$L$7:$L$42,MATCH(B83,'配对比较'!$A$7:$A$42,0)))</x:f>
        <x:v>0</x:v>
      </x:c>
      <x:c r="AH83" s="13" t="str">
        <x:f>IF(INDEX('特性清单'!$B$7:$B$18,MATCH(C83,'特性清单'!$A$7:$A$18,0))="","",IF(INDEX('特性清单'!$J$7:$J$18,MATCH(C83,'特性清单'!$A$7:$A$18,0))="","",INDEX('特性清单'!$J$7:$J$18,MATCH(C83,'特性清单'!$A$7:$A$18,0))))</x:f>
      </x:c>
      <x:c r="AI83" s="10"/>
      <x:c r="AJ83" s="13" t="n">
        <x:f>IF(AND(ISNUMBER(U83),U83&gt;=0),1,0)</x:f>
        <x:v>0</x:v>
      </x:c>
      <x:c r="AK83" s="13" t="str">
        <x:f>IF(AE83&lt;&gt;"纳入","",IF(OR(O83="超时",AA83&gt;AH83),1,0))</x:f>
      </x:c>
    </x:row>
    <x:row r="84" ht="25" customHeight="1">
      <x:c r="A84" s="13" t="str">
        <x:v>F07-R2-CX</x:v>
      </x:c>
      <x:c r="B84" s="13" t="str">
        <x:v>F07-R2</x:v>
      </x:c>
      <x:c r="C84" s="13" t="str">
        <x:v>F07</x:v>
      </x:c>
      <x:c r="D84" s="58" t="n">
        <x:v>2</x:v>
      </x:c>
      <x:c r="E84" s="13" t="str">
        <x:v>Codex</x:v>
      </x:c>
      <x:c r="F84" s="10"/>
      <x:c r="G84" s="56"/>
      <x:c r="H84" s="45"/>
      <x:c r="I84" s="45"/>
      <x:c r="J84" s="48"/>
      <x:c r="K84" s="48"/>
      <x:c r="L84" s="48"/>
      <x:c r="M84" s="56"/>
      <x:c r="N84" s="56"/>
      <x:c r="O84" s="10"/>
      <x:c r="P84" s="56"/>
      <x:c r="Q84" s="56"/>
      <x:c r="R84" s="56"/>
      <x:c r="S84" s="10"/>
      <x:c r="T84" s="10"/>
      <x:c r="U84" s="53"/>
      <x:c r="V84" s="10"/>
      <x:c r="W84" s="10"/>
      <x:c r="X84" s="10"/>
      <x:c r="Y84" s="10"/>
      <x:c r="Z84" s="13" t="str">
        <x:f>IF(INDEX('特性清单'!$B$7:$B$18,MATCH(C84,'特性清单'!$A$7:$A$18,0))="","",IF(INDEX('特性清单'!$H$7:$H$18,MATCH(C84,'特性清单'!$A$7:$A$18,0))="","",INDEX('特性清单'!$H$7:$H$18,MATCH(C84,'特性清单'!$A$7:$A$18,0))))</x:f>
      </x:c>
      <x:c r="AA84" s="50" t="str">
        <x:f>IF(AND(COUNT(H84:J84)=3,I84&gt;=H84,J84&gt;=0),ROUND((I84-H84)*1440-J84,2),"")</x:f>
      </x:c>
      <x:c r="AB84" s="51" t="str">
        <x:f>IF(AND(ISNUMBER(P84),ISNUMBER(Z84),Z84&gt;0,P84&gt;=0,P84&lt;=Z84),P84/Z84,"")</x:f>
      </x:c>
      <x:c r="AC84" s="51" t="str">
        <x:f>IF(AND(ISNUMBER(Q84),ISNUMBER(Z84),Z84&gt;0,Q84&gt;=0,Q84&lt;=Z84),Q84/Z84,"")</x:f>
      </x:c>
      <x:c r="AD84" s="13" t="str">
        <x:f>IF(AE84&lt;&gt;"纳入","",IF(AND(O84="完成",AC84=1,R84=0,S84="通过",T84="通过",AA84&lt;=AH84),1,0))</x:f>
      </x:c>
      <x:c r="AE84" s="13" t="str">
        <x:f>IF(O84="","待运行",IF(O84="进行中","进行中",IF(NOT(OR(O84="完成",O84="超时",O84="工具故障",O84="主动终止")),"需核对终态",IF(OR('试点设置'!$C$15&lt;&gt;"齐备",INDEX('特性清单'!$P$7:$P$18,MATCH(C84,'特性清单'!$A$7:$A$18,0))&lt;&gt;"齐备",D84&gt;INDEX('特性清单'!$K$7:$K$18,MATCH(C84,'特性清单'!$A$7:$A$18,0))),"待补齐试验设置",IF(NOT(AND(F84&lt;&gt;"",COUNT(G84:N84)=8,COUNT(P84:R84)=3,S84&lt;&gt;"",T84&lt;&gt;"",V84&lt;&gt;"",X84&lt;&gt;"",Y84&lt;&gt;"",AI84&lt;&gt;"")),"待补齐记录",IF(NOT(AND(G84&gt;=1,G84&lt;=4,MOD(G84,1)=0,I84&gt;=H84,MIN(J84:N84)&gt;=0,MOD(M84,1)=0,MOD(N84,1)=0,AA84&gt;=0,K84&lt;=AA84,L84&lt;=K84,MIN(P84:R84)&gt;=0,MOD(P84,1)=0,MOD(Q84,1)=0,MOD(R84,1)=0,P84&lt;=Z84,Q84&lt;=Z84,OR(S84="通过",S84="失败",S84="未完成"),OR(T84="通过",T84="失败",T84="未完成"),OR(AI84="新手",AI84="偶尔使用",AI84="经常使用"),COUNTIFS($A$7:$A$150,A84)=1)),"需核对数值或ID",IF(OR(AND(O84&lt;&gt;"完成",W84=""),AND(J84&gt;0,W84=""),AND(V84&lt;&gt;"一致",W84="")),"待说明原因",IF(V84&lt;&gt;"一致","条件偏差","纳入"))))))))</x:f>
        <x:v>待运行</x:v>
      </x:c>
      <x:c r="AF84" s="13" t="n">
        <x:f>IF(AE84&lt;&gt;"纳入",0,INDEX('配对比较'!$J$7:$J$42,MATCH(B84,'配对比较'!$A$7:$A$42,0)))</x:f>
        <x:v>0</x:v>
      </x:c>
      <x:c r="AG84" s="13" t="n">
        <x:f>IF(AE84&lt;&gt;"纳入",0,INDEX('配对比较'!$L$7:$L$42,MATCH(B84,'配对比较'!$A$7:$A$42,0)))</x:f>
        <x:v>0</x:v>
      </x:c>
      <x:c r="AH84" s="13" t="str">
        <x:f>IF(INDEX('特性清单'!$B$7:$B$18,MATCH(C84,'特性清单'!$A$7:$A$18,0))="","",IF(INDEX('特性清单'!$J$7:$J$18,MATCH(C84,'特性清单'!$A$7:$A$18,0))="","",INDEX('特性清单'!$J$7:$J$18,MATCH(C84,'特性清单'!$A$7:$A$18,0))))</x:f>
      </x:c>
      <x:c r="AI84" s="10"/>
      <x:c r="AJ84" s="13" t="n">
        <x:f>IF(AND(ISNUMBER(U84),U84&gt;=0),1,0)</x:f>
        <x:v>0</x:v>
      </x:c>
      <x:c r="AK84" s="13" t="str">
        <x:f>IF(AE84&lt;&gt;"纳入","",IF(OR(O84="超时",AA84&gt;AH84),1,0))</x:f>
      </x:c>
    </x:row>
    <x:row r="85" ht="25" customHeight="1">
      <x:c r="A85" s="13" t="str">
        <x:v>F07-R2-TR</x:v>
      </x:c>
      <x:c r="B85" s="13" t="str">
        <x:v>F07-R2</x:v>
      </x:c>
      <x:c r="C85" s="13" t="str">
        <x:v>F07</x:v>
      </x:c>
      <x:c r="D85" s="58" t="n">
        <x:v>2</x:v>
      </x:c>
      <x:c r="E85" s="13" t="str">
        <x:v>Trae</x:v>
      </x:c>
      <x:c r="F85" s="10"/>
      <x:c r="G85" s="56"/>
      <x:c r="H85" s="45"/>
      <x:c r="I85" s="45"/>
      <x:c r="J85" s="48"/>
      <x:c r="K85" s="48"/>
      <x:c r="L85" s="48"/>
      <x:c r="M85" s="56"/>
      <x:c r="N85" s="56"/>
      <x:c r="O85" s="10"/>
      <x:c r="P85" s="56"/>
      <x:c r="Q85" s="56"/>
      <x:c r="R85" s="56"/>
      <x:c r="S85" s="10"/>
      <x:c r="T85" s="10"/>
      <x:c r="U85" s="53"/>
      <x:c r="V85" s="10"/>
      <x:c r="W85" s="10"/>
      <x:c r="X85" s="10"/>
      <x:c r="Y85" s="10"/>
      <x:c r="Z85" s="13" t="str">
        <x:f>IF(INDEX('特性清单'!$B$7:$B$18,MATCH(C85,'特性清单'!$A$7:$A$18,0))="","",IF(INDEX('特性清单'!$H$7:$H$18,MATCH(C85,'特性清单'!$A$7:$A$18,0))="","",INDEX('特性清单'!$H$7:$H$18,MATCH(C85,'特性清单'!$A$7:$A$18,0))))</x:f>
      </x:c>
      <x:c r="AA85" s="50" t="str">
        <x:f>IF(AND(COUNT(H85:J85)=3,I85&gt;=H85,J85&gt;=0),ROUND((I85-H85)*1440-J85,2),"")</x:f>
      </x:c>
      <x:c r="AB85" s="51" t="str">
        <x:f>IF(AND(ISNUMBER(P85),ISNUMBER(Z85),Z85&gt;0,P85&gt;=0,P85&lt;=Z85),P85/Z85,"")</x:f>
      </x:c>
      <x:c r="AC85" s="51" t="str">
        <x:f>IF(AND(ISNUMBER(Q85),ISNUMBER(Z85),Z85&gt;0,Q85&gt;=0,Q85&lt;=Z85),Q85/Z85,"")</x:f>
      </x:c>
      <x:c r="AD85" s="13" t="str">
        <x:f>IF(AE85&lt;&gt;"纳入","",IF(AND(O85="完成",AC85=1,R85=0,S85="通过",T85="通过",AA85&lt;=AH85),1,0))</x:f>
      </x:c>
      <x:c r="AE85" s="13" t="str">
        <x:f>IF(O85="","待运行",IF(O85="进行中","进行中",IF(NOT(OR(O85="完成",O85="超时",O85="工具故障",O85="主动终止")),"需核对终态",IF(OR('试点设置'!$C$15&lt;&gt;"齐备",INDEX('特性清单'!$P$7:$P$18,MATCH(C85,'特性清单'!$A$7:$A$18,0))&lt;&gt;"齐备",D85&gt;INDEX('特性清单'!$K$7:$K$18,MATCH(C85,'特性清单'!$A$7:$A$18,0))),"待补齐试验设置",IF(NOT(AND(F85&lt;&gt;"",COUNT(G85:N85)=8,COUNT(P85:R85)=3,S85&lt;&gt;"",T85&lt;&gt;"",V85&lt;&gt;"",X85&lt;&gt;"",Y85&lt;&gt;"",AI85&lt;&gt;"")),"待补齐记录",IF(NOT(AND(G85&gt;=1,G85&lt;=4,MOD(G85,1)=0,I85&gt;=H85,MIN(J85:N85)&gt;=0,MOD(M85,1)=0,MOD(N85,1)=0,AA85&gt;=0,K85&lt;=AA85,L85&lt;=K85,MIN(P85:R85)&gt;=0,MOD(P85,1)=0,MOD(Q85,1)=0,MOD(R85,1)=0,P85&lt;=Z85,Q85&lt;=Z85,OR(S85="通过",S85="失败",S85="未完成"),OR(T85="通过",T85="失败",T85="未完成"),OR(AI85="新手",AI85="偶尔使用",AI85="经常使用"),COUNTIFS($A$7:$A$150,A85)=1)),"需核对数值或ID",IF(OR(AND(O85&lt;&gt;"完成",W85=""),AND(J85&gt;0,W85=""),AND(V85&lt;&gt;"一致",W85="")),"待说明原因",IF(V85&lt;&gt;"一致","条件偏差","纳入"))))))))</x:f>
        <x:v>待运行</x:v>
      </x:c>
      <x:c r="AF85" s="13" t="n">
        <x:f>IF(AE85&lt;&gt;"纳入",0,INDEX('配对比较'!$J$7:$J$42,MATCH(B85,'配对比较'!$A$7:$A$42,0)))</x:f>
        <x:v>0</x:v>
      </x:c>
      <x:c r="AG85" s="13" t="n">
        <x:f>IF(AE85&lt;&gt;"纳入",0,INDEX('配对比较'!$L$7:$L$42,MATCH(B85,'配对比较'!$A$7:$A$42,0)))</x:f>
        <x:v>0</x:v>
      </x:c>
      <x:c r="AH85" s="13" t="str">
        <x:f>IF(INDEX('特性清单'!$B$7:$B$18,MATCH(C85,'特性清单'!$A$7:$A$18,0))="","",IF(INDEX('特性清单'!$J$7:$J$18,MATCH(C85,'特性清单'!$A$7:$A$18,0))="","",INDEX('特性清单'!$J$7:$J$18,MATCH(C85,'特性清单'!$A$7:$A$18,0))))</x:f>
      </x:c>
      <x:c r="AI85" s="10"/>
      <x:c r="AJ85" s="13" t="n">
        <x:f>IF(AND(ISNUMBER(U85),U85&gt;=0),1,0)</x:f>
        <x:v>0</x:v>
      </x:c>
      <x:c r="AK85" s="13" t="str">
        <x:f>IF(AE85&lt;&gt;"纳入","",IF(OR(O85="超时",AA85&gt;AH85),1,0))</x:f>
      </x:c>
    </x:row>
    <x:row r="86" ht="25" customHeight="1">
      <x:c r="A86" s="13" t="str">
        <x:v>F07-R2-CA</x:v>
      </x:c>
      <x:c r="B86" s="13" t="str">
        <x:v>F07-R2</x:v>
      </x:c>
      <x:c r="C86" s="13" t="str">
        <x:v>F07</x:v>
      </x:c>
      <x:c r="D86" s="58" t="n">
        <x:v>2</x:v>
      </x:c>
      <x:c r="E86" s="13" t="str">
        <x:v>CodeArts</x:v>
      </x:c>
      <x:c r="F86" s="10"/>
      <x:c r="G86" s="56"/>
      <x:c r="H86" s="45"/>
      <x:c r="I86" s="45"/>
      <x:c r="J86" s="48"/>
      <x:c r="K86" s="48"/>
      <x:c r="L86" s="48"/>
      <x:c r="M86" s="56"/>
      <x:c r="N86" s="56"/>
      <x:c r="O86" s="10"/>
      <x:c r="P86" s="56"/>
      <x:c r="Q86" s="56"/>
      <x:c r="R86" s="56"/>
      <x:c r="S86" s="10"/>
      <x:c r="T86" s="10"/>
      <x:c r="U86" s="53"/>
      <x:c r="V86" s="10"/>
      <x:c r="W86" s="10"/>
      <x:c r="X86" s="10"/>
      <x:c r="Y86" s="10"/>
      <x:c r="Z86" s="13" t="str">
        <x:f>IF(INDEX('特性清单'!$B$7:$B$18,MATCH(C86,'特性清单'!$A$7:$A$18,0))="","",IF(INDEX('特性清单'!$H$7:$H$18,MATCH(C86,'特性清单'!$A$7:$A$18,0))="","",INDEX('特性清单'!$H$7:$H$18,MATCH(C86,'特性清单'!$A$7:$A$18,0))))</x:f>
      </x:c>
      <x:c r="AA86" s="50" t="str">
        <x:f>IF(AND(COUNT(H86:J86)=3,I86&gt;=H86,J86&gt;=0),ROUND((I86-H86)*1440-J86,2),"")</x:f>
      </x:c>
      <x:c r="AB86" s="51" t="str">
        <x:f>IF(AND(ISNUMBER(P86),ISNUMBER(Z86),Z86&gt;0,P86&gt;=0,P86&lt;=Z86),P86/Z86,"")</x:f>
      </x:c>
      <x:c r="AC86" s="51" t="str">
        <x:f>IF(AND(ISNUMBER(Q86),ISNUMBER(Z86),Z86&gt;0,Q86&gt;=0,Q86&lt;=Z86),Q86/Z86,"")</x:f>
      </x:c>
      <x:c r="AD86" s="13" t="str">
        <x:f>IF(AE86&lt;&gt;"纳入","",IF(AND(O86="完成",AC86=1,R86=0,S86="通过",T86="通过",AA86&lt;=AH86),1,0))</x:f>
      </x:c>
      <x:c r="AE86" s="13" t="str">
        <x:f>IF(O86="","待运行",IF(O86="进行中","进行中",IF(NOT(OR(O86="完成",O86="超时",O86="工具故障",O86="主动终止")),"需核对终态",IF(OR('试点设置'!$C$15&lt;&gt;"齐备",INDEX('特性清单'!$P$7:$P$18,MATCH(C86,'特性清单'!$A$7:$A$18,0))&lt;&gt;"齐备",D86&gt;INDEX('特性清单'!$K$7:$K$18,MATCH(C86,'特性清单'!$A$7:$A$18,0))),"待补齐试验设置",IF(NOT(AND(F86&lt;&gt;"",COUNT(G86:N86)=8,COUNT(P86:R86)=3,S86&lt;&gt;"",T86&lt;&gt;"",V86&lt;&gt;"",X86&lt;&gt;"",Y86&lt;&gt;"",AI86&lt;&gt;"")),"待补齐记录",IF(NOT(AND(G86&gt;=1,G86&lt;=4,MOD(G86,1)=0,I86&gt;=H86,MIN(J86:N86)&gt;=0,MOD(M86,1)=0,MOD(N86,1)=0,AA86&gt;=0,K86&lt;=AA86,L86&lt;=K86,MIN(P86:R86)&gt;=0,MOD(P86,1)=0,MOD(Q86,1)=0,MOD(R86,1)=0,P86&lt;=Z86,Q86&lt;=Z86,OR(S86="通过",S86="失败",S86="未完成"),OR(T86="通过",T86="失败",T86="未完成"),OR(AI86="新手",AI86="偶尔使用",AI86="经常使用"),COUNTIFS($A$7:$A$150,A86)=1)),"需核对数值或ID",IF(OR(AND(O86&lt;&gt;"完成",W86=""),AND(J86&gt;0,W86=""),AND(V86&lt;&gt;"一致",W86="")),"待说明原因",IF(V86&lt;&gt;"一致","条件偏差","纳入"))))))))</x:f>
        <x:v>待运行</x:v>
      </x:c>
      <x:c r="AF86" s="13" t="n">
        <x:f>IF(AE86&lt;&gt;"纳入",0,INDEX('配对比较'!$J$7:$J$42,MATCH(B86,'配对比较'!$A$7:$A$42,0)))</x:f>
        <x:v>0</x:v>
      </x:c>
      <x:c r="AG86" s="13" t="n">
        <x:f>IF(AE86&lt;&gt;"纳入",0,INDEX('配对比较'!$L$7:$L$42,MATCH(B86,'配对比较'!$A$7:$A$42,0)))</x:f>
        <x:v>0</x:v>
      </x:c>
      <x:c r="AH86" s="13" t="str">
        <x:f>IF(INDEX('特性清单'!$B$7:$B$18,MATCH(C86,'特性清单'!$A$7:$A$18,0))="","",IF(INDEX('特性清单'!$J$7:$J$18,MATCH(C86,'特性清单'!$A$7:$A$18,0))="","",INDEX('特性清单'!$J$7:$J$18,MATCH(C86,'特性清单'!$A$7:$A$18,0))))</x:f>
      </x:c>
      <x:c r="AI86" s="10"/>
      <x:c r="AJ86" s="13" t="n">
        <x:f>IF(AND(ISNUMBER(U86),U86&gt;=0),1,0)</x:f>
        <x:v>0</x:v>
      </x:c>
      <x:c r="AK86" s="13" t="str">
        <x:f>IF(AE86&lt;&gt;"纳入","",IF(OR(O86="超时",AA86&gt;AH86),1,0))</x:f>
      </x:c>
    </x:row>
    <x:row r="87" ht="25" customHeight="1">
      <x:c r="A87" s="13" t="str">
        <x:v>F07-R3-CC</x:v>
      </x:c>
      <x:c r="B87" s="13" t="str">
        <x:v>F07-R3</x:v>
      </x:c>
      <x:c r="C87" s="13" t="str">
        <x:v>F07</x:v>
      </x:c>
      <x:c r="D87" s="58" t="n">
        <x:v>3</x:v>
      </x:c>
      <x:c r="E87" s="13" t="str">
        <x:v>Claude Code</x:v>
      </x:c>
      <x:c r="F87" s="10"/>
      <x:c r="G87" s="56"/>
      <x:c r="H87" s="45"/>
      <x:c r="I87" s="45"/>
      <x:c r="J87" s="48"/>
      <x:c r="K87" s="48"/>
      <x:c r="L87" s="48"/>
      <x:c r="M87" s="56"/>
      <x:c r="N87" s="56"/>
      <x:c r="O87" s="10"/>
      <x:c r="P87" s="56"/>
      <x:c r="Q87" s="56"/>
      <x:c r="R87" s="56"/>
      <x:c r="S87" s="10"/>
      <x:c r="T87" s="10"/>
      <x:c r="U87" s="53"/>
      <x:c r="V87" s="10"/>
      <x:c r="W87" s="10"/>
      <x:c r="X87" s="10"/>
      <x:c r="Y87" s="10"/>
      <x:c r="Z87" s="13" t="str">
        <x:f>IF(INDEX('特性清单'!$B$7:$B$18,MATCH(C87,'特性清单'!$A$7:$A$18,0))="","",IF(INDEX('特性清单'!$H$7:$H$18,MATCH(C87,'特性清单'!$A$7:$A$18,0))="","",INDEX('特性清单'!$H$7:$H$18,MATCH(C87,'特性清单'!$A$7:$A$18,0))))</x:f>
      </x:c>
      <x:c r="AA87" s="50" t="str">
        <x:f>IF(AND(COUNT(H87:J87)=3,I87&gt;=H87,J87&gt;=0),ROUND((I87-H87)*1440-J87,2),"")</x:f>
      </x:c>
      <x:c r="AB87" s="51" t="str">
        <x:f>IF(AND(ISNUMBER(P87),ISNUMBER(Z87),Z87&gt;0,P87&gt;=0,P87&lt;=Z87),P87/Z87,"")</x:f>
      </x:c>
      <x:c r="AC87" s="51" t="str">
        <x:f>IF(AND(ISNUMBER(Q87),ISNUMBER(Z87),Z87&gt;0,Q87&gt;=0,Q87&lt;=Z87),Q87/Z87,"")</x:f>
      </x:c>
      <x:c r="AD87" s="13" t="str">
        <x:f>IF(AE87&lt;&gt;"纳入","",IF(AND(O87="完成",AC87=1,R87=0,S87="通过",T87="通过",AA87&lt;=AH87),1,0))</x:f>
      </x:c>
      <x:c r="AE87" s="13" t="str">
        <x:f>IF(O87="","待运行",IF(O87="进行中","进行中",IF(NOT(OR(O87="完成",O87="超时",O87="工具故障",O87="主动终止")),"需核对终态",IF(OR('试点设置'!$C$15&lt;&gt;"齐备",INDEX('特性清单'!$P$7:$P$18,MATCH(C87,'特性清单'!$A$7:$A$18,0))&lt;&gt;"齐备",D87&gt;INDEX('特性清单'!$K$7:$K$18,MATCH(C87,'特性清单'!$A$7:$A$18,0))),"待补齐试验设置",IF(NOT(AND(F87&lt;&gt;"",COUNT(G87:N87)=8,COUNT(P87:R87)=3,S87&lt;&gt;"",T87&lt;&gt;"",V87&lt;&gt;"",X87&lt;&gt;"",Y87&lt;&gt;"",AI87&lt;&gt;"")),"待补齐记录",IF(NOT(AND(G87&gt;=1,G87&lt;=4,MOD(G87,1)=0,I87&gt;=H87,MIN(J87:N87)&gt;=0,MOD(M87,1)=0,MOD(N87,1)=0,AA87&gt;=0,K87&lt;=AA87,L87&lt;=K87,MIN(P87:R87)&gt;=0,MOD(P87,1)=0,MOD(Q87,1)=0,MOD(R87,1)=0,P87&lt;=Z87,Q87&lt;=Z87,OR(S87="通过",S87="失败",S87="未完成"),OR(T87="通过",T87="失败",T87="未完成"),OR(AI87="新手",AI87="偶尔使用",AI87="经常使用"),COUNTIFS($A$7:$A$150,A87)=1)),"需核对数值或ID",IF(OR(AND(O87&lt;&gt;"完成",W87=""),AND(J87&gt;0,W87=""),AND(V87&lt;&gt;"一致",W87="")),"待说明原因",IF(V87&lt;&gt;"一致","条件偏差","纳入"))))))))</x:f>
        <x:v>待运行</x:v>
      </x:c>
      <x:c r="AF87" s="13" t="n">
        <x:f>IF(AE87&lt;&gt;"纳入",0,INDEX('配对比较'!$J$7:$J$42,MATCH(B87,'配对比较'!$A$7:$A$42,0)))</x:f>
        <x:v>0</x:v>
      </x:c>
      <x:c r="AG87" s="13" t="n">
        <x:f>IF(AE87&lt;&gt;"纳入",0,INDEX('配对比较'!$L$7:$L$42,MATCH(B87,'配对比较'!$A$7:$A$42,0)))</x:f>
        <x:v>0</x:v>
      </x:c>
      <x:c r="AH87" s="13" t="str">
        <x:f>IF(INDEX('特性清单'!$B$7:$B$18,MATCH(C87,'特性清单'!$A$7:$A$18,0))="","",IF(INDEX('特性清单'!$J$7:$J$18,MATCH(C87,'特性清单'!$A$7:$A$18,0))="","",INDEX('特性清单'!$J$7:$J$18,MATCH(C87,'特性清单'!$A$7:$A$18,0))))</x:f>
      </x:c>
      <x:c r="AI87" s="10"/>
      <x:c r="AJ87" s="13" t="n">
        <x:f>IF(AND(ISNUMBER(U87),U87&gt;=0),1,0)</x:f>
        <x:v>0</x:v>
      </x:c>
      <x:c r="AK87" s="13" t="str">
        <x:f>IF(AE87&lt;&gt;"纳入","",IF(OR(O87="超时",AA87&gt;AH87),1,0))</x:f>
      </x:c>
    </x:row>
    <x:row r="88" ht="25" customHeight="1">
      <x:c r="A88" s="13" t="str">
        <x:v>F07-R3-CX</x:v>
      </x:c>
      <x:c r="B88" s="13" t="str">
        <x:v>F07-R3</x:v>
      </x:c>
      <x:c r="C88" s="13" t="str">
        <x:v>F07</x:v>
      </x:c>
      <x:c r="D88" s="58" t="n">
        <x:v>3</x:v>
      </x:c>
      <x:c r="E88" s="13" t="str">
        <x:v>Codex</x:v>
      </x:c>
      <x:c r="F88" s="10"/>
      <x:c r="G88" s="56"/>
      <x:c r="H88" s="45"/>
      <x:c r="I88" s="45"/>
      <x:c r="J88" s="48"/>
      <x:c r="K88" s="48"/>
      <x:c r="L88" s="48"/>
      <x:c r="M88" s="56"/>
      <x:c r="N88" s="56"/>
      <x:c r="O88" s="10"/>
      <x:c r="P88" s="56"/>
      <x:c r="Q88" s="56"/>
      <x:c r="R88" s="56"/>
      <x:c r="S88" s="10"/>
      <x:c r="T88" s="10"/>
      <x:c r="U88" s="53"/>
      <x:c r="V88" s="10"/>
      <x:c r="W88" s="10"/>
      <x:c r="X88" s="10"/>
      <x:c r="Y88" s="10"/>
      <x:c r="Z88" s="13" t="str">
        <x:f>IF(INDEX('特性清单'!$B$7:$B$18,MATCH(C88,'特性清单'!$A$7:$A$18,0))="","",IF(INDEX('特性清单'!$H$7:$H$18,MATCH(C88,'特性清单'!$A$7:$A$18,0))="","",INDEX('特性清单'!$H$7:$H$18,MATCH(C88,'特性清单'!$A$7:$A$18,0))))</x:f>
      </x:c>
      <x:c r="AA88" s="50" t="str">
        <x:f>IF(AND(COUNT(H88:J88)=3,I88&gt;=H88,J88&gt;=0),ROUND((I88-H88)*1440-J88,2),"")</x:f>
      </x:c>
      <x:c r="AB88" s="51" t="str">
        <x:f>IF(AND(ISNUMBER(P88),ISNUMBER(Z88),Z88&gt;0,P88&gt;=0,P88&lt;=Z88),P88/Z88,"")</x:f>
      </x:c>
      <x:c r="AC88" s="51" t="str">
        <x:f>IF(AND(ISNUMBER(Q88),ISNUMBER(Z88),Z88&gt;0,Q88&gt;=0,Q88&lt;=Z88),Q88/Z88,"")</x:f>
      </x:c>
      <x:c r="AD88" s="13" t="str">
        <x:f>IF(AE88&lt;&gt;"纳入","",IF(AND(O88="完成",AC88=1,R88=0,S88="通过",T88="通过",AA88&lt;=AH88),1,0))</x:f>
      </x:c>
      <x:c r="AE88" s="13" t="str">
        <x:f>IF(O88="","待运行",IF(O88="进行中","进行中",IF(NOT(OR(O88="完成",O88="超时",O88="工具故障",O88="主动终止")),"需核对终态",IF(OR('试点设置'!$C$15&lt;&gt;"齐备",INDEX('特性清单'!$P$7:$P$18,MATCH(C88,'特性清单'!$A$7:$A$18,0))&lt;&gt;"齐备",D88&gt;INDEX('特性清单'!$K$7:$K$18,MATCH(C88,'特性清单'!$A$7:$A$18,0))),"待补齐试验设置",IF(NOT(AND(F88&lt;&gt;"",COUNT(G88:N88)=8,COUNT(P88:R88)=3,S88&lt;&gt;"",T88&lt;&gt;"",V88&lt;&gt;"",X88&lt;&gt;"",Y88&lt;&gt;"",AI88&lt;&gt;"")),"待补齐记录",IF(NOT(AND(G88&gt;=1,G88&lt;=4,MOD(G88,1)=0,I88&gt;=H88,MIN(J88:N88)&gt;=0,MOD(M88,1)=0,MOD(N88,1)=0,AA88&gt;=0,K88&lt;=AA88,L88&lt;=K88,MIN(P88:R88)&gt;=0,MOD(P88,1)=0,MOD(Q88,1)=0,MOD(R88,1)=0,P88&lt;=Z88,Q88&lt;=Z88,OR(S88="通过",S88="失败",S88="未完成"),OR(T88="通过",T88="失败",T88="未完成"),OR(AI88="新手",AI88="偶尔使用",AI88="经常使用"),COUNTIFS($A$7:$A$150,A88)=1)),"需核对数值或ID",IF(OR(AND(O88&lt;&gt;"完成",W88=""),AND(J88&gt;0,W88=""),AND(V88&lt;&gt;"一致",W88="")),"待说明原因",IF(V88&lt;&gt;"一致","条件偏差","纳入"))))))))</x:f>
        <x:v>待运行</x:v>
      </x:c>
      <x:c r="AF88" s="13" t="n">
        <x:f>IF(AE88&lt;&gt;"纳入",0,INDEX('配对比较'!$J$7:$J$42,MATCH(B88,'配对比较'!$A$7:$A$42,0)))</x:f>
        <x:v>0</x:v>
      </x:c>
      <x:c r="AG88" s="13" t="n">
        <x:f>IF(AE88&lt;&gt;"纳入",0,INDEX('配对比较'!$L$7:$L$42,MATCH(B88,'配对比较'!$A$7:$A$42,0)))</x:f>
        <x:v>0</x:v>
      </x:c>
      <x:c r="AH88" s="13" t="str">
        <x:f>IF(INDEX('特性清单'!$B$7:$B$18,MATCH(C88,'特性清单'!$A$7:$A$18,0))="","",IF(INDEX('特性清单'!$J$7:$J$18,MATCH(C88,'特性清单'!$A$7:$A$18,0))="","",INDEX('特性清单'!$J$7:$J$18,MATCH(C88,'特性清单'!$A$7:$A$18,0))))</x:f>
      </x:c>
      <x:c r="AI88" s="10"/>
      <x:c r="AJ88" s="13" t="n">
        <x:f>IF(AND(ISNUMBER(U88),U88&gt;=0),1,0)</x:f>
        <x:v>0</x:v>
      </x:c>
      <x:c r="AK88" s="13" t="str">
        <x:f>IF(AE88&lt;&gt;"纳入","",IF(OR(O88="超时",AA88&gt;AH88),1,0))</x:f>
      </x:c>
    </x:row>
    <x:row r="89" ht="25" customHeight="1">
      <x:c r="A89" s="13" t="str">
        <x:v>F07-R3-TR</x:v>
      </x:c>
      <x:c r="B89" s="13" t="str">
        <x:v>F07-R3</x:v>
      </x:c>
      <x:c r="C89" s="13" t="str">
        <x:v>F07</x:v>
      </x:c>
      <x:c r="D89" s="58" t="n">
        <x:v>3</x:v>
      </x:c>
      <x:c r="E89" s="13" t="str">
        <x:v>Trae</x:v>
      </x:c>
      <x:c r="F89" s="10"/>
      <x:c r="G89" s="56"/>
      <x:c r="H89" s="45"/>
      <x:c r="I89" s="45"/>
      <x:c r="J89" s="48"/>
      <x:c r="K89" s="48"/>
      <x:c r="L89" s="48"/>
      <x:c r="M89" s="56"/>
      <x:c r="N89" s="56"/>
      <x:c r="O89" s="10"/>
      <x:c r="P89" s="56"/>
      <x:c r="Q89" s="56"/>
      <x:c r="R89" s="56"/>
      <x:c r="S89" s="10"/>
      <x:c r="T89" s="10"/>
      <x:c r="U89" s="53"/>
      <x:c r="V89" s="10"/>
      <x:c r="W89" s="10"/>
      <x:c r="X89" s="10"/>
      <x:c r="Y89" s="10"/>
      <x:c r="Z89" s="13" t="str">
        <x:f>IF(INDEX('特性清单'!$B$7:$B$18,MATCH(C89,'特性清单'!$A$7:$A$18,0))="","",IF(INDEX('特性清单'!$H$7:$H$18,MATCH(C89,'特性清单'!$A$7:$A$18,0))="","",INDEX('特性清单'!$H$7:$H$18,MATCH(C89,'特性清单'!$A$7:$A$18,0))))</x:f>
      </x:c>
      <x:c r="AA89" s="50" t="str">
        <x:f>IF(AND(COUNT(H89:J89)=3,I89&gt;=H89,J89&gt;=0),ROUND((I89-H89)*1440-J89,2),"")</x:f>
      </x:c>
      <x:c r="AB89" s="51" t="str">
        <x:f>IF(AND(ISNUMBER(P89),ISNUMBER(Z89),Z89&gt;0,P89&gt;=0,P89&lt;=Z89),P89/Z89,"")</x:f>
      </x:c>
      <x:c r="AC89" s="51" t="str">
        <x:f>IF(AND(ISNUMBER(Q89),ISNUMBER(Z89),Z89&gt;0,Q89&gt;=0,Q89&lt;=Z89),Q89/Z89,"")</x:f>
      </x:c>
      <x:c r="AD89" s="13" t="str">
        <x:f>IF(AE89&lt;&gt;"纳入","",IF(AND(O89="完成",AC89=1,R89=0,S89="通过",T89="通过",AA89&lt;=AH89),1,0))</x:f>
      </x:c>
      <x:c r="AE89" s="13" t="str">
        <x:f>IF(O89="","待运行",IF(O89="进行中","进行中",IF(NOT(OR(O89="完成",O89="超时",O89="工具故障",O89="主动终止")),"需核对终态",IF(OR('试点设置'!$C$15&lt;&gt;"齐备",INDEX('特性清单'!$P$7:$P$18,MATCH(C89,'特性清单'!$A$7:$A$18,0))&lt;&gt;"齐备",D89&gt;INDEX('特性清单'!$K$7:$K$18,MATCH(C89,'特性清单'!$A$7:$A$18,0))),"待补齐试验设置",IF(NOT(AND(F89&lt;&gt;"",COUNT(G89:N89)=8,COUNT(P89:R89)=3,S89&lt;&gt;"",T89&lt;&gt;"",V89&lt;&gt;"",X89&lt;&gt;"",Y89&lt;&gt;"",AI89&lt;&gt;"")),"待补齐记录",IF(NOT(AND(G89&gt;=1,G89&lt;=4,MOD(G89,1)=0,I89&gt;=H89,MIN(J89:N89)&gt;=0,MOD(M89,1)=0,MOD(N89,1)=0,AA89&gt;=0,K89&lt;=AA89,L89&lt;=K89,MIN(P89:R89)&gt;=0,MOD(P89,1)=0,MOD(Q89,1)=0,MOD(R89,1)=0,P89&lt;=Z89,Q89&lt;=Z89,OR(S89="通过",S89="失败",S89="未完成"),OR(T89="通过",T89="失败",T89="未完成"),OR(AI89="新手",AI89="偶尔使用",AI89="经常使用"),COUNTIFS($A$7:$A$150,A89)=1)),"需核对数值或ID",IF(OR(AND(O89&lt;&gt;"完成",W89=""),AND(J89&gt;0,W89=""),AND(V89&lt;&gt;"一致",W89="")),"待说明原因",IF(V89&lt;&gt;"一致","条件偏差","纳入"))))))))</x:f>
        <x:v>待运行</x:v>
      </x:c>
      <x:c r="AF89" s="13" t="n">
        <x:f>IF(AE89&lt;&gt;"纳入",0,INDEX('配对比较'!$J$7:$J$42,MATCH(B89,'配对比较'!$A$7:$A$42,0)))</x:f>
        <x:v>0</x:v>
      </x:c>
      <x:c r="AG89" s="13" t="n">
        <x:f>IF(AE89&lt;&gt;"纳入",0,INDEX('配对比较'!$L$7:$L$42,MATCH(B89,'配对比较'!$A$7:$A$42,0)))</x:f>
        <x:v>0</x:v>
      </x:c>
      <x:c r="AH89" s="13" t="str">
        <x:f>IF(INDEX('特性清单'!$B$7:$B$18,MATCH(C89,'特性清单'!$A$7:$A$18,0))="","",IF(INDEX('特性清单'!$J$7:$J$18,MATCH(C89,'特性清单'!$A$7:$A$18,0))="","",INDEX('特性清单'!$J$7:$J$18,MATCH(C89,'特性清单'!$A$7:$A$18,0))))</x:f>
      </x:c>
      <x:c r="AI89" s="10"/>
      <x:c r="AJ89" s="13" t="n">
        <x:f>IF(AND(ISNUMBER(U89),U89&gt;=0),1,0)</x:f>
        <x:v>0</x:v>
      </x:c>
      <x:c r="AK89" s="13" t="str">
        <x:f>IF(AE89&lt;&gt;"纳入","",IF(OR(O89="超时",AA89&gt;AH89),1,0))</x:f>
      </x:c>
    </x:row>
    <x:row r="90" ht="25" customHeight="1">
      <x:c r="A90" s="13" t="str">
        <x:v>F07-R3-CA</x:v>
      </x:c>
      <x:c r="B90" s="13" t="str">
        <x:v>F07-R3</x:v>
      </x:c>
      <x:c r="C90" s="13" t="str">
        <x:v>F07</x:v>
      </x:c>
      <x:c r="D90" s="58" t="n">
        <x:v>3</x:v>
      </x:c>
      <x:c r="E90" s="13" t="str">
        <x:v>CodeArts</x:v>
      </x:c>
      <x:c r="F90" s="10"/>
      <x:c r="G90" s="56"/>
      <x:c r="H90" s="45"/>
      <x:c r="I90" s="45"/>
      <x:c r="J90" s="48"/>
      <x:c r="K90" s="48"/>
      <x:c r="L90" s="48"/>
      <x:c r="M90" s="56"/>
      <x:c r="N90" s="56"/>
      <x:c r="O90" s="10"/>
      <x:c r="P90" s="56"/>
      <x:c r="Q90" s="56"/>
      <x:c r="R90" s="56"/>
      <x:c r="S90" s="10"/>
      <x:c r="T90" s="10"/>
      <x:c r="U90" s="53"/>
      <x:c r="V90" s="10"/>
      <x:c r="W90" s="10"/>
      <x:c r="X90" s="10"/>
      <x:c r="Y90" s="10"/>
      <x:c r="Z90" s="13" t="str">
        <x:f>IF(INDEX('特性清单'!$B$7:$B$18,MATCH(C90,'特性清单'!$A$7:$A$18,0))="","",IF(INDEX('特性清单'!$H$7:$H$18,MATCH(C90,'特性清单'!$A$7:$A$18,0))="","",INDEX('特性清单'!$H$7:$H$18,MATCH(C90,'特性清单'!$A$7:$A$18,0))))</x:f>
      </x:c>
      <x:c r="AA90" s="50" t="str">
        <x:f>IF(AND(COUNT(H90:J90)=3,I90&gt;=H90,J90&gt;=0),ROUND((I90-H90)*1440-J90,2),"")</x:f>
      </x:c>
      <x:c r="AB90" s="51" t="str">
        <x:f>IF(AND(ISNUMBER(P90),ISNUMBER(Z90),Z90&gt;0,P90&gt;=0,P90&lt;=Z90),P90/Z90,"")</x:f>
      </x:c>
      <x:c r="AC90" s="51" t="str">
        <x:f>IF(AND(ISNUMBER(Q90),ISNUMBER(Z90),Z90&gt;0,Q90&gt;=0,Q90&lt;=Z90),Q90/Z90,"")</x:f>
      </x:c>
      <x:c r="AD90" s="13" t="str">
        <x:f>IF(AE90&lt;&gt;"纳入","",IF(AND(O90="完成",AC90=1,R90=0,S90="通过",T90="通过",AA90&lt;=AH90),1,0))</x:f>
      </x:c>
      <x:c r="AE90" s="13" t="str">
        <x:f>IF(O90="","待运行",IF(O90="进行中","进行中",IF(NOT(OR(O90="完成",O90="超时",O90="工具故障",O90="主动终止")),"需核对终态",IF(OR('试点设置'!$C$15&lt;&gt;"齐备",INDEX('特性清单'!$P$7:$P$18,MATCH(C90,'特性清单'!$A$7:$A$18,0))&lt;&gt;"齐备",D90&gt;INDEX('特性清单'!$K$7:$K$18,MATCH(C90,'特性清单'!$A$7:$A$18,0))),"待补齐试验设置",IF(NOT(AND(F90&lt;&gt;"",COUNT(G90:N90)=8,COUNT(P90:R90)=3,S90&lt;&gt;"",T90&lt;&gt;"",V90&lt;&gt;"",X90&lt;&gt;"",Y90&lt;&gt;"",AI90&lt;&gt;"")),"待补齐记录",IF(NOT(AND(G90&gt;=1,G90&lt;=4,MOD(G90,1)=0,I90&gt;=H90,MIN(J90:N90)&gt;=0,MOD(M90,1)=0,MOD(N90,1)=0,AA90&gt;=0,K90&lt;=AA90,L90&lt;=K90,MIN(P90:R90)&gt;=0,MOD(P90,1)=0,MOD(Q90,1)=0,MOD(R90,1)=0,P90&lt;=Z90,Q90&lt;=Z90,OR(S90="通过",S90="失败",S90="未完成"),OR(T90="通过",T90="失败",T90="未完成"),OR(AI90="新手",AI90="偶尔使用",AI90="经常使用"),COUNTIFS($A$7:$A$150,A90)=1)),"需核对数值或ID",IF(OR(AND(O90&lt;&gt;"完成",W90=""),AND(J90&gt;0,W90=""),AND(V90&lt;&gt;"一致",W90="")),"待说明原因",IF(V90&lt;&gt;"一致","条件偏差","纳入"))))))))</x:f>
        <x:v>待运行</x:v>
      </x:c>
      <x:c r="AF90" s="13" t="n">
        <x:f>IF(AE90&lt;&gt;"纳入",0,INDEX('配对比较'!$J$7:$J$42,MATCH(B90,'配对比较'!$A$7:$A$42,0)))</x:f>
        <x:v>0</x:v>
      </x:c>
      <x:c r="AG90" s="13" t="n">
        <x:f>IF(AE90&lt;&gt;"纳入",0,INDEX('配对比较'!$L$7:$L$42,MATCH(B90,'配对比较'!$A$7:$A$42,0)))</x:f>
        <x:v>0</x:v>
      </x:c>
      <x:c r="AH90" s="13" t="str">
        <x:f>IF(INDEX('特性清单'!$B$7:$B$18,MATCH(C90,'特性清单'!$A$7:$A$18,0))="","",IF(INDEX('特性清单'!$J$7:$J$18,MATCH(C90,'特性清单'!$A$7:$A$18,0))="","",INDEX('特性清单'!$J$7:$J$18,MATCH(C90,'特性清单'!$A$7:$A$18,0))))</x:f>
      </x:c>
      <x:c r="AI90" s="10"/>
      <x:c r="AJ90" s="13" t="n">
        <x:f>IF(AND(ISNUMBER(U90),U90&gt;=0),1,0)</x:f>
        <x:v>0</x:v>
      </x:c>
      <x:c r="AK90" s="13" t="str">
        <x:f>IF(AE90&lt;&gt;"纳入","",IF(OR(O90="超时",AA90&gt;AH90),1,0))</x:f>
      </x:c>
    </x:row>
    <x:row r="91" ht="25" customHeight="1">
      <x:c r="A91" s="13" t="str">
        <x:v>F08-R1-CC</x:v>
      </x:c>
      <x:c r="B91" s="13" t="str">
        <x:v>F08-R1</x:v>
      </x:c>
      <x:c r="C91" s="13" t="str">
        <x:v>F08</x:v>
      </x:c>
      <x:c r="D91" s="58" t="n">
        <x:v>1</x:v>
      </x:c>
      <x:c r="E91" s="13" t="str">
        <x:v>Claude Code</x:v>
      </x:c>
      <x:c r="F91" s="10"/>
      <x:c r="G91" s="56"/>
      <x:c r="H91" s="45"/>
      <x:c r="I91" s="45"/>
      <x:c r="J91" s="48"/>
      <x:c r="K91" s="48"/>
      <x:c r="L91" s="48"/>
      <x:c r="M91" s="56"/>
      <x:c r="N91" s="56"/>
      <x:c r="O91" s="10"/>
      <x:c r="P91" s="56"/>
      <x:c r="Q91" s="56"/>
      <x:c r="R91" s="56"/>
      <x:c r="S91" s="10"/>
      <x:c r="T91" s="10"/>
      <x:c r="U91" s="53"/>
      <x:c r="V91" s="10"/>
      <x:c r="W91" s="10"/>
      <x:c r="X91" s="10"/>
      <x:c r="Y91" s="10"/>
      <x:c r="Z91" s="13" t="str">
        <x:f>IF(INDEX('特性清单'!$B$7:$B$18,MATCH(C91,'特性清单'!$A$7:$A$18,0))="","",IF(INDEX('特性清单'!$H$7:$H$18,MATCH(C91,'特性清单'!$A$7:$A$18,0))="","",INDEX('特性清单'!$H$7:$H$18,MATCH(C91,'特性清单'!$A$7:$A$18,0))))</x:f>
      </x:c>
      <x:c r="AA91" s="50" t="str">
        <x:f>IF(AND(COUNT(H91:J91)=3,I91&gt;=H91,J91&gt;=0),ROUND((I91-H91)*1440-J91,2),"")</x:f>
      </x:c>
      <x:c r="AB91" s="51" t="str">
        <x:f>IF(AND(ISNUMBER(P91),ISNUMBER(Z91),Z91&gt;0,P91&gt;=0,P91&lt;=Z91),P91/Z91,"")</x:f>
      </x:c>
      <x:c r="AC91" s="51" t="str">
        <x:f>IF(AND(ISNUMBER(Q91),ISNUMBER(Z91),Z91&gt;0,Q91&gt;=0,Q91&lt;=Z91),Q91/Z91,"")</x:f>
      </x:c>
      <x:c r="AD91" s="13" t="str">
        <x:f>IF(AE91&lt;&gt;"纳入","",IF(AND(O91="完成",AC91=1,R91=0,S91="通过",T91="通过",AA91&lt;=AH91),1,0))</x:f>
      </x:c>
      <x:c r="AE91" s="13" t="str">
        <x:f>IF(O91="","待运行",IF(O91="进行中","进行中",IF(NOT(OR(O91="完成",O91="超时",O91="工具故障",O91="主动终止")),"需核对终态",IF(OR('试点设置'!$C$15&lt;&gt;"齐备",INDEX('特性清单'!$P$7:$P$18,MATCH(C91,'特性清单'!$A$7:$A$18,0))&lt;&gt;"齐备",D91&gt;INDEX('特性清单'!$K$7:$K$18,MATCH(C91,'特性清单'!$A$7:$A$18,0))),"待补齐试验设置",IF(NOT(AND(F91&lt;&gt;"",COUNT(G91:N91)=8,COUNT(P91:R91)=3,S91&lt;&gt;"",T91&lt;&gt;"",V91&lt;&gt;"",X91&lt;&gt;"",Y91&lt;&gt;"",AI91&lt;&gt;"")),"待补齐记录",IF(NOT(AND(G91&gt;=1,G91&lt;=4,MOD(G91,1)=0,I91&gt;=H91,MIN(J91:N91)&gt;=0,MOD(M91,1)=0,MOD(N91,1)=0,AA91&gt;=0,K91&lt;=AA91,L91&lt;=K91,MIN(P91:R91)&gt;=0,MOD(P91,1)=0,MOD(Q91,1)=0,MOD(R91,1)=0,P91&lt;=Z91,Q91&lt;=Z91,OR(S91="通过",S91="失败",S91="未完成"),OR(T91="通过",T91="失败",T91="未完成"),OR(AI91="新手",AI91="偶尔使用",AI91="经常使用"),COUNTIFS($A$7:$A$150,A91)=1)),"需核对数值或ID",IF(OR(AND(O91&lt;&gt;"完成",W91=""),AND(J91&gt;0,W91=""),AND(V91&lt;&gt;"一致",W91="")),"待说明原因",IF(V91&lt;&gt;"一致","条件偏差","纳入"))))))))</x:f>
        <x:v>待运行</x:v>
      </x:c>
      <x:c r="AF91" s="13" t="n">
        <x:f>IF(AE91&lt;&gt;"纳入",0,INDEX('配对比较'!$J$7:$J$42,MATCH(B91,'配对比较'!$A$7:$A$42,0)))</x:f>
        <x:v>0</x:v>
      </x:c>
      <x:c r="AG91" s="13" t="n">
        <x:f>IF(AE91&lt;&gt;"纳入",0,INDEX('配对比较'!$L$7:$L$42,MATCH(B91,'配对比较'!$A$7:$A$42,0)))</x:f>
        <x:v>0</x:v>
      </x:c>
      <x:c r="AH91" s="13" t="str">
        <x:f>IF(INDEX('特性清单'!$B$7:$B$18,MATCH(C91,'特性清单'!$A$7:$A$18,0))="","",IF(INDEX('特性清单'!$J$7:$J$18,MATCH(C91,'特性清单'!$A$7:$A$18,0))="","",INDEX('特性清单'!$J$7:$J$18,MATCH(C91,'特性清单'!$A$7:$A$18,0))))</x:f>
      </x:c>
      <x:c r="AI91" s="10"/>
      <x:c r="AJ91" s="13" t="n">
        <x:f>IF(AND(ISNUMBER(U91),U91&gt;=0),1,0)</x:f>
        <x:v>0</x:v>
      </x:c>
      <x:c r="AK91" s="13" t="str">
        <x:f>IF(AE91&lt;&gt;"纳入","",IF(OR(O91="超时",AA91&gt;AH91),1,0))</x:f>
      </x:c>
    </x:row>
    <x:row r="92" ht="25" customHeight="1">
      <x:c r="A92" s="13" t="str">
        <x:v>F08-R1-CX</x:v>
      </x:c>
      <x:c r="B92" s="13" t="str">
        <x:v>F08-R1</x:v>
      </x:c>
      <x:c r="C92" s="13" t="str">
        <x:v>F08</x:v>
      </x:c>
      <x:c r="D92" s="58" t="n">
        <x:v>1</x:v>
      </x:c>
      <x:c r="E92" s="13" t="str">
        <x:v>Codex</x:v>
      </x:c>
      <x:c r="F92" s="10"/>
      <x:c r="G92" s="56"/>
      <x:c r="H92" s="45"/>
      <x:c r="I92" s="45"/>
      <x:c r="J92" s="48"/>
      <x:c r="K92" s="48"/>
      <x:c r="L92" s="48"/>
      <x:c r="M92" s="56"/>
      <x:c r="N92" s="56"/>
      <x:c r="O92" s="10"/>
      <x:c r="P92" s="56"/>
      <x:c r="Q92" s="56"/>
      <x:c r="R92" s="56"/>
      <x:c r="S92" s="10"/>
      <x:c r="T92" s="10"/>
      <x:c r="U92" s="53"/>
      <x:c r="V92" s="10"/>
      <x:c r="W92" s="10"/>
      <x:c r="X92" s="10"/>
      <x:c r="Y92" s="10"/>
      <x:c r="Z92" s="13" t="str">
        <x:f>IF(INDEX('特性清单'!$B$7:$B$18,MATCH(C92,'特性清单'!$A$7:$A$18,0))="","",IF(INDEX('特性清单'!$H$7:$H$18,MATCH(C92,'特性清单'!$A$7:$A$18,0))="","",INDEX('特性清单'!$H$7:$H$18,MATCH(C92,'特性清单'!$A$7:$A$18,0))))</x:f>
      </x:c>
      <x:c r="AA92" s="50" t="str">
        <x:f>IF(AND(COUNT(H92:J92)=3,I92&gt;=H92,J92&gt;=0),ROUND((I92-H92)*1440-J92,2),"")</x:f>
      </x:c>
      <x:c r="AB92" s="51" t="str">
        <x:f>IF(AND(ISNUMBER(P92),ISNUMBER(Z92),Z92&gt;0,P92&gt;=0,P92&lt;=Z92),P92/Z92,"")</x:f>
      </x:c>
      <x:c r="AC92" s="51" t="str">
        <x:f>IF(AND(ISNUMBER(Q92),ISNUMBER(Z92),Z92&gt;0,Q92&gt;=0,Q92&lt;=Z92),Q92/Z92,"")</x:f>
      </x:c>
      <x:c r="AD92" s="13" t="str">
        <x:f>IF(AE92&lt;&gt;"纳入","",IF(AND(O92="完成",AC92=1,R92=0,S92="通过",T92="通过",AA92&lt;=AH92),1,0))</x:f>
      </x:c>
      <x:c r="AE92" s="13" t="str">
        <x:f>IF(O92="","待运行",IF(O92="进行中","进行中",IF(NOT(OR(O92="完成",O92="超时",O92="工具故障",O92="主动终止")),"需核对终态",IF(OR('试点设置'!$C$15&lt;&gt;"齐备",INDEX('特性清单'!$P$7:$P$18,MATCH(C92,'特性清单'!$A$7:$A$18,0))&lt;&gt;"齐备",D92&gt;INDEX('特性清单'!$K$7:$K$18,MATCH(C92,'特性清单'!$A$7:$A$18,0))),"待补齐试验设置",IF(NOT(AND(F92&lt;&gt;"",COUNT(G92:N92)=8,COUNT(P92:R92)=3,S92&lt;&gt;"",T92&lt;&gt;"",V92&lt;&gt;"",X92&lt;&gt;"",Y92&lt;&gt;"",AI92&lt;&gt;"")),"待补齐记录",IF(NOT(AND(G92&gt;=1,G92&lt;=4,MOD(G92,1)=0,I92&gt;=H92,MIN(J92:N92)&gt;=0,MOD(M92,1)=0,MOD(N92,1)=0,AA92&gt;=0,K92&lt;=AA92,L92&lt;=K92,MIN(P92:R92)&gt;=0,MOD(P92,1)=0,MOD(Q92,1)=0,MOD(R92,1)=0,P92&lt;=Z92,Q92&lt;=Z92,OR(S92="通过",S92="失败",S92="未完成"),OR(T92="通过",T92="失败",T92="未完成"),OR(AI92="新手",AI92="偶尔使用",AI92="经常使用"),COUNTIFS($A$7:$A$150,A92)=1)),"需核对数值或ID",IF(OR(AND(O92&lt;&gt;"完成",W92=""),AND(J92&gt;0,W92=""),AND(V92&lt;&gt;"一致",W92="")),"待说明原因",IF(V92&lt;&gt;"一致","条件偏差","纳入"))))))))</x:f>
        <x:v>待运行</x:v>
      </x:c>
      <x:c r="AF92" s="13" t="n">
        <x:f>IF(AE92&lt;&gt;"纳入",0,INDEX('配对比较'!$J$7:$J$42,MATCH(B92,'配对比较'!$A$7:$A$42,0)))</x:f>
        <x:v>0</x:v>
      </x:c>
      <x:c r="AG92" s="13" t="n">
        <x:f>IF(AE92&lt;&gt;"纳入",0,INDEX('配对比较'!$L$7:$L$42,MATCH(B92,'配对比较'!$A$7:$A$42,0)))</x:f>
        <x:v>0</x:v>
      </x:c>
      <x:c r="AH92" s="13" t="str">
        <x:f>IF(INDEX('特性清单'!$B$7:$B$18,MATCH(C92,'特性清单'!$A$7:$A$18,0))="","",IF(INDEX('特性清单'!$J$7:$J$18,MATCH(C92,'特性清单'!$A$7:$A$18,0))="","",INDEX('特性清单'!$J$7:$J$18,MATCH(C92,'特性清单'!$A$7:$A$18,0))))</x:f>
      </x:c>
      <x:c r="AI92" s="10"/>
      <x:c r="AJ92" s="13" t="n">
        <x:f>IF(AND(ISNUMBER(U92),U92&gt;=0),1,0)</x:f>
        <x:v>0</x:v>
      </x:c>
      <x:c r="AK92" s="13" t="str">
        <x:f>IF(AE92&lt;&gt;"纳入","",IF(OR(O92="超时",AA92&gt;AH92),1,0))</x:f>
      </x:c>
    </x:row>
    <x:row r="93" ht="25" customHeight="1">
      <x:c r="A93" s="13" t="str">
        <x:v>F08-R1-TR</x:v>
      </x:c>
      <x:c r="B93" s="13" t="str">
        <x:v>F08-R1</x:v>
      </x:c>
      <x:c r="C93" s="13" t="str">
        <x:v>F08</x:v>
      </x:c>
      <x:c r="D93" s="58" t="n">
        <x:v>1</x:v>
      </x:c>
      <x:c r="E93" s="13" t="str">
        <x:v>Trae</x:v>
      </x:c>
      <x:c r="F93" s="10"/>
      <x:c r="G93" s="56"/>
      <x:c r="H93" s="45"/>
      <x:c r="I93" s="45"/>
      <x:c r="J93" s="48"/>
      <x:c r="K93" s="48"/>
      <x:c r="L93" s="48"/>
      <x:c r="M93" s="56"/>
      <x:c r="N93" s="56"/>
      <x:c r="O93" s="10"/>
      <x:c r="P93" s="56"/>
      <x:c r="Q93" s="56"/>
      <x:c r="R93" s="56"/>
      <x:c r="S93" s="10"/>
      <x:c r="T93" s="10"/>
      <x:c r="U93" s="53"/>
      <x:c r="V93" s="10"/>
      <x:c r="W93" s="10"/>
      <x:c r="X93" s="10"/>
      <x:c r="Y93" s="10"/>
      <x:c r="Z93" s="13" t="str">
        <x:f>IF(INDEX('特性清单'!$B$7:$B$18,MATCH(C93,'特性清单'!$A$7:$A$18,0))="","",IF(INDEX('特性清单'!$H$7:$H$18,MATCH(C93,'特性清单'!$A$7:$A$18,0))="","",INDEX('特性清单'!$H$7:$H$18,MATCH(C93,'特性清单'!$A$7:$A$18,0))))</x:f>
      </x:c>
      <x:c r="AA93" s="50" t="str">
        <x:f>IF(AND(COUNT(H93:J93)=3,I93&gt;=H93,J93&gt;=0),ROUND((I93-H93)*1440-J93,2),"")</x:f>
      </x:c>
      <x:c r="AB93" s="51" t="str">
        <x:f>IF(AND(ISNUMBER(P93),ISNUMBER(Z93),Z93&gt;0,P93&gt;=0,P93&lt;=Z93),P93/Z93,"")</x:f>
      </x:c>
      <x:c r="AC93" s="51" t="str">
        <x:f>IF(AND(ISNUMBER(Q93),ISNUMBER(Z93),Z93&gt;0,Q93&gt;=0,Q93&lt;=Z93),Q93/Z93,"")</x:f>
      </x:c>
      <x:c r="AD93" s="13" t="str">
        <x:f>IF(AE93&lt;&gt;"纳入","",IF(AND(O93="完成",AC93=1,R93=0,S93="通过",T93="通过",AA93&lt;=AH93),1,0))</x:f>
      </x:c>
      <x:c r="AE93" s="13" t="str">
        <x:f>IF(O93="","待运行",IF(O93="进行中","进行中",IF(NOT(OR(O93="完成",O93="超时",O93="工具故障",O93="主动终止")),"需核对终态",IF(OR('试点设置'!$C$15&lt;&gt;"齐备",INDEX('特性清单'!$P$7:$P$18,MATCH(C93,'特性清单'!$A$7:$A$18,0))&lt;&gt;"齐备",D93&gt;INDEX('特性清单'!$K$7:$K$18,MATCH(C93,'特性清单'!$A$7:$A$18,0))),"待补齐试验设置",IF(NOT(AND(F93&lt;&gt;"",COUNT(G93:N93)=8,COUNT(P93:R93)=3,S93&lt;&gt;"",T93&lt;&gt;"",V93&lt;&gt;"",X93&lt;&gt;"",Y93&lt;&gt;"",AI93&lt;&gt;"")),"待补齐记录",IF(NOT(AND(G93&gt;=1,G93&lt;=4,MOD(G93,1)=0,I93&gt;=H93,MIN(J93:N93)&gt;=0,MOD(M93,1)=0,MOD(N93,1)=0,AA93&gt;=0,K93&lt;=AA93,L93&lt;=K93,MIN(P93:R93)&gt;=0,MOD(P93,1)=0,MOD(Q93,1)=0,MOD(R93,1)=0,P93&lt;=Z93,Q93&lt;=Z93,OR(S93="通过",S93="失败",S93="未完成"),OR(T93="通过",T93="失败",T93="未完成"),OR(AI93="新手",AI93="偶尔使用",AI93="经常使用"),COUNTIFS($A$7:$A$150,A93)=1)),"需核对数值或ID",IF(OR(AND(O93&lt;&gt;"完成",W93=""),AND(J93&gt;0,W93=""),AND(V93&lt;&gt;"一致",W93="")),"待说明原因",IF(V93&lt;&gt;"一致","条件偏差","纳入"))))))))</x:f>
        <x:v>待运行</x:v>
      </x:c>
      <x:c r="AF93" s="13" t="n">
        <x:f>IF(AE93&lt;&gt;"纳入",0,INDEX('配对比较'!$J$7:$J$42,MATCH(B93,'配对比较'!$A$7:$A$42,0)))</x:f>
        <x:v>0</x:v>
      </x:c>
      <x:c r="AG93" s="13" t="n">
        <x:f>IF(AE93&lt;&gt;"纳入",0,INDEX('配对比较'!$L$7:$L$42,MATCH(B93,'配对比较'!$A$7:$A$42,0)))</x:f>
        <x:v>0</x:v>
      </x:c>
      <x:c r="AH93" s="13" t="str">
        <x:f>IF(INDEX('特性清单'!$B$7:$B$18,MATCH(C93,'特性清单'!$A$7:$A$18,0))="","",IF(INDEX('特性清单'!$J$7:$J$18,MATCH(C93,'特性清单'!$A$7:$A$18,0))="","",INDEX('特性清单'!$J$7:$J$18,MATCH(C93,'特性清单'!$A$7:$A$18,0))))</x:f>
      </x:c>
      <x:c r="AI93" s="10"/>
      <x:c r="AJ93" s="13" t="n">
        <x:f>IF(AND(ISNUMBER(U93),U93&gt;=0),1,0)</x:f>
        <x:v>0</x:v>
      </x:c>
      <x:c r="AK93" s="13" t="str">
        <x:f>IF(AE93&lt;&gt;"纳入","",IF(OR(O93="超时",AA93&gt;AH93),1,0))</x:f>
      </x:c>
    </x:row>
    <x:row r="94" ht="25" customHeight="1">
      <x:c r="A94" s="13" t="str">
        <x:v>F08-R1-CA</x:v>
      </x:c>
      <x:c r="B94" s="13" t="str">
        <x:v>F08-R1</x:v>
      </x:c>
      <x:c r="C94" s="13" t="str">
        <x:v>F08</x:v>
      </x:c>
      <x:c r="D94" s="58" t="n">
        <x:v>1</x:v>
      </x:c>
      <x:c r="E94" s="13" t="str">
        <x:v>CodeArts</x:v>
      </x:c>
      <x:c r="F94" s="10"/>
      <x:c r="G94" s="56"/>
      <x:c r="H94" s="45"/>
      <x:c r="I94" s="45"/>
      <x:c r="J94" s="48"/>
      <x:c r="K94" s="48"/>
      <x:c r="L94" s="48"/>
      <x:c r="M94" s="56"/>
      <x:c r="N94" s="56"/>
      <x:c r="O94" s="10"/>
      <x:c r="P94" s="56"/>
      <x:c r="Q94" s="56"/>
      <x:c r="R94" s="56"/>
      <x:c r="S94" s="10"/>
      <x:c r="T94" s="10"/>
      <x:c r="U94" s="53"/>
      <x:c r="V94" s="10"/>
      <x:c r="W94" s="10"/>
      <x:c r="X94" s="10"/>
      <x:c r="Y94" s="10"/>
      <x:c r="Z94" s="13" t="str">
        <x:f>IF(INDEX('特性清单'!$B$7:$B$18,MATCH(C94,'特性清单'!$A$7:$A$18,0))="","",IF(INDEX('特性清单'!$H$7:$H$18,MATCH(C94,'特性清单'!$A$7:$A$18,0))="","",INDEX('特性清单'!$H$7:$H$18,MATCH(C94,'特性清单'!$A$7:$A$18,0))))</x:f>
      </x:c>
      <x:c r="AA94" s="50" t="str">
        <x:f>IF(AND(COUNT(H94:J94)=3,I94&gt;=H94,J94&gt;=0),ROUND((I94-H94)*1440-J94,2),"")</x:f>
      </x:c>
      <x:c r="AB94" s="51" t="str">
        <x:f>IF(AND(ISNUMBER(P94),ISNUMBER(Z94),Z94&gt;0,P94&gt;=0,P94&lt;=Z94),P94/Z94,"")</x:f>
      </x:c>
      <x:c r="AC94" s="51" t="str">
        <x:f>IF(AND(ISNUMBER(Q94),ISNUMBER(Z94),Z94&gt;0,Q94&gt;=0,Q94&lt;=Z94),Q94/Z94,"")</x:f>
      </x:c>
      <x:c r="AD94" s="13" t="str">
        <x:f>IF(AE94&lt;&gt;"纳入","",IF(AND(O94="完成",AC94=1,R94=0,S94="通过",T94="通过",AA94&lt;=AH94),1,0))</x:f>
      </x:c>
      <x:c r="AE94" s="13" t="str">
        <x:f>IF(O94="","待运行",IF(O94="进行中","进行中",IF(NOT(OR(O94="完成",O94="超时",O94="工具故障",O94="主动终止")),"需核对终态",IF(OR('试点设置'!$C$15&lt;&gt;"齐备",INDEX('特性清单'!$P$7:$P$18,MATCH(C94,'特性清单'!$A$7:$A$18,0))&lt;&gt;"齐备",D94&gt;INDEX('特性清单'!$K$7:$K$18,MATCH(C94,'特性清单'!$A$7:$A$18,0))),"待补齐试验设置",IF(NOT(AND(F94&lt;&gt;"",COUNT(G94:N94)=8,COUNT(P94:R94)=3,S94&lt;&gt;"",T94&lt;&gt;"",V94&lt;&gt;"",X94&lt;&gt;"",Y94&lt;&gt;"",AI94&lt;&gt;"")),"待补齐记录",IF(NOT(AND(G94&gt;=1,G94&lt;=4,MOD(G94,1)=0,I94&gt;=H94,MIN(J94:N94)&gt;=0,MOD(M94,1)=0,MOD(N94,1)=0,AA94&gt;=0,K94&lt;=AA94,L94&lt;=K94,MIN(P94:R94)&gt;=0,MOD(P94,1)=0,MOD(Q94,1)=0,MOD(R94,1)=0,P94&lt;=Z94,Q94&lt;=Z94,OR(S94="通过",S94="失败",S94="未完成"),OR(T94="通过",T94="失败",T94="未完成"),OR(AI94="新手",AI94="偶尔使用",AI94="经常使用"),COUNTIFS($A$7:$A$150,A94)=1)),"需核对数值或ID",IF(OR(AND(O94&lt;&gt;"完成",W94=""),AND(J94&gt;0,W94=""),AND(V94&lt;&gt;"一致",W94="")),"待说明原因",IF(V94&lt;&gt;"一致","条件偏差","纳入"))))))))</x:f>
        <x:v>待运行</x:v>
      </x:c>
      <x:c r="AF94" s="13" t="n">
        <x:f>IF(AE94&lt;&gt;"纳入",0,INDEX('配对比较'!$J$7:$J$42,MATCH(B94,'配对比较'!$A$7:$A$42,0)))</x:f>
        <x:v>0</x:v>
      </x:c>
      <x:c r="AG94" s="13" t="n">
        <x:f>IF(AE94&lt;&gt;"纳入",0,INDEX('配对比较'!$L$7:$L$42,MATCH(B94,'配对比较'!$A$7:$A$42,0)))</x:f>
        <x:v>0</x:v>
      </x:c>
      <x:c r="AH94" s="13" t="str">
        <x:f>IF(INDEX('特性清单'!$B$7:$B$18,MATCH(C94,'特性清单'!$A$7:$A$18,0))="","",IF(INDEX('特性清单'!$J$7:$J$18,MATCH(C94,'特性清单'!$A$7:$A$18,0))="","",INDEX('特性清单'!$J$7:$J$18,MATCH(C94,'特性清单'!$A$7:$A$18,0))))</x:f>
      </x:c>
      <x:c r="AI94" s="10"/>
      <x:c r="AJ94" s="13" t="n">
        <x:f>IF(AND(ISNUMBER(U94),U94&gt;=0),1,0)</x:f>
        <x:v>0</x:v>
      </x:c>
      <x:c r="AK94" s="13" t="str">
        <x:f>IF(AE94&lt;&gt;"纳入","",IF(OR(O94="超时",AA94&gt;AH94),1,0))</x:f>
      </x:c>
    </x:row>
    <x:row r="95" ht="25" customHeight="1">
      <x:c r="A95" s="13" t="str">
        <x:v>F08-R2-CC</x:v>
      </x:c>
      <x:c r="B95" s="13" t="str">
        <x:v>F08-R2</x:v>
      </x:c>
      <x:c r="C95" s="13" t="str">
        <x:v>F08</x:v>
      </x:c>
      <x:c r="D95" s="58" t="n">
        <x:v>2</x:v>
      </x:c>
      <x:c r="E95" s="13" t="str">
        <x:v>Claude Code</x:v>
      </x:c>
      <x:c r="F95" s="10"/>
      <x:c r="G95" s="56"/>
      <x:c r="H95" s="45"/>
      <x:c r="I95" s="45"/>
      <x:c r="J95" s="48"/>
      <x:c r="K95" s="48"/>
      <x:c r="L95" s="48"/>
      <x:c r="M95" s="56"/>
      <x:c r="N95" s="56"/>
      <x:c r="O95" s="10"/>
      <x:c r="P95" s="56"/>
      <x:c r="Q95" s="56"/>
      <x:c r="R95" s="56"/>
      <x:c r="S95" s="10"/>
      <x:c r="T95" s="10"/>
      <x:c r="U95" s="53"/>
      <x:c r="V95" s="10"/>
      <x:c r="W95" s="10"/>
      <x:c r="X95" s="10"/>
      <x:c r="Y95" s="10"/>
      <x:c r="Z95" s="13" t="str">
        <x:f>IF(INDEX('特性清单'!$B$7:$B$18,MATCH(C95,'特性清单'!$A$7:$A$18,0))="","",IF(INDEX('特性清单'!$H$7:$H$18,MATCH(C95,'特性清单'!$A$7:$A$18,0))="","",INDEX('特性清单'!$H$7:$H$18,MATCH(C95,'特性清单'!$A$7:$A$18,0))))</x:f>
      </x:c>
      <x:c r="AA95" s="50" t="str">
        <x:f>IF(AND(COUNT(H95:J95)=3,I95&gt;=H95,J95&gt;=0),ROUND((I95-H95)*1440-J95,2),"")</x:f>
      </x:c>
      <x:c r="AB95" s="51" t="str">
        <x:f>IF(AND(ISNUMBER(P95),ISNUMBER(Z95),Z95&gt;0,P95&gt;=0,P95&lt;=Z95),P95/Z95,"")</x:f>
      </x:c>
      <x:c r="AC95" s="51" t="str">
        <x:f>IF(AND(ISNUMBER(Q95),ISNUMBER(Z95),Z95&gt;0,Q95&gt;=0,Q95&lt;=Z95),Q95/Z95,"")</x:f>
      </x:c>
      <x:c r="AD95" s="13" t="str">
        <x:f>IF(AE95&lt;&gt;"纳入","",IF(AND(O95="完成",AC95=1,R95=0,S95="通过",T95="通过",AA95&lt;=AH95),1,0))</x:f>
      </x:c>
      <x:c r="AE95" s="13" t="str">
        <x:f>IF(O95="","待运行",IF(O95="进行中","进行中",IF(NOT(OR(O95="完成",O95="超时",O95="工具故障",O95="主动终止")),"需核对终态",IF(OR('试点设置'!$C$15&lt;&gt;"齐备",INDEX('特性清单'!$P$7:$P$18,MATCH(C95,'特性清单'!$A$7:$A$18,0))&lt;&gt;"齐备",D95&gt;INDEX('特性清单'!$K$7:$K$18,MATCH(C95,'特性清单'!$A$7:$A$18,0))),"待补齐试验设置",IF(NOT(AND(F95&lt;&gt;"",COUNT(G95:N95)=8,COUNT(P95:R95)=3,S95&lt;&gt;"",T95&lt;&gt;"",V95&lt;&gt;"",X95&lt;&gt;"",Y95&lt;&gt;"",AI95&lt;&gt;"")),"待补齐记录",IF(NOT(AND(G95&gt;=1,G95&lt;=4,MOD(G95,1)=0,I95&gt;=H95,MIN(J95:N95)&gt;=0,MOD(M95,1)=0,MOD(N95,1)=0,AA95&gt;=0,K95&lt;=AA95,L95&lt;=K95,MIN(P95:R95)&gt;=0,MOD(P95,1)=0,MOD(Q95,1)=0,MOD(R95,1)=0,P95&lt;=Z95,Q95&lt;=Z95,OR(S95="通过",S95="失败",S95="未完成"),OR(T95="通过",T95="失败",T95="未完成"),OR(AI95="新手",AI95="偶尔使用",AI95="经常使用"),COUNTIFS($A$7:$A$150,A95)=1)),"需核对数值或ID",IF(OR(AND(O95&lt;&gt;"完成",W95=""),AND(J95&gt;0,W95=""),AND(V95&lt;&gt;"一致",W95="")),"待说明原因",IF(V95&lt;&gt;"一致","条件偏差","纳入"))))))))</x:f>
        <x:v>待运行</x:v>
      </x:c>
      <x:c r="AF95" s="13" t="n">
        <x:f>IF(AE95&lt;&gt;"纳入",0,INDEX('配对比较'!$J$7:$J$42,MATCH(B95,'配对比较'!$A$7:$A$42,0)))</x:f>
        <x:v>0</x:v>
      </x:c>
      <x:c r="AG95" s="13" t="n">
        <x:f>IF(AE95&lt;&gt;"纳入",0,INDEX('配对比较'!$L$7:$L$42,MATCH(B95,'配对比较'!$A$7:$A$42,0)))</x:f>
        <x:v>0</x:v>
      </x:c>
      <x:c r="AH95" s="13" t="str">
        <x:f>IF(INDEX('特性清单'!$B$7:$B$18,MATCH(C95,'特性清单'!$A$7:$A$18,0))="","",IF(INDEX('特性清单'!$J$7:$J$18,MATCH(C95,'特性清单'!$A$7:$A$18,0))="","",INDEX('特性清单'!$J$7:$J$18,MATCH(C95,'特性清单'!$A$7:$A$18,0))))</x:f>
      </x:c>
      <x:c r="AI95" s="10"/>
      <x:c r="AJ95" s="13" t="n">
        <x:f>IF(AND(ISNUMBER(U95),U95&gt;=0),1,0)</x:f>
        <x:v>0</x:v>
      </x:c>
      <x:c r="AK95" s="13" t="str">
        <x:f>IF(AE95&lt;&gt;"纳入","",IF(OR(O95="超时",AA95&gt;AH95),1,0))</x:f>
      </x:c>
    </x:row>
    <x:row r="96" ht="25" customHeight="1">
      <x:c r="A96" s="13" t="str">
        <x:v>F08-R2-CX</x:v>
      </x:c>
      <x:c r="B96" s="13" t="str">
        <x:v>F08-R2</x:v>
      </x:c>
      <x:c r="C96" s="13" t="str">
        <x:v>F08</x:v>
      </x:c>
      <x:c r="D96" s="58" t="n">
        <x:v>2</x:v>
      </x:c>
      <x:c r="E96" s="13" t="str">
        <x:v>Codex</x:v>
      </x:c>
      <x:c r="F96" s="10"/>
      <x:c r="G96" s="56"/>
      <x:c r="H96" s="45"/>
      <x:c r="I96" s="45"/>
      <x:c r="J96" s="48"/>
      <x:c r="K96" s="48"/>
      <x:c r="L96" s="48"/>
      <x:c r="M96" s="56"/>
      <x:c r="N96" s="56"/>
      <x:c r="O96" s="10"/>
      <x:c r="P96" s="56"/>
      <x:c r="Q96" s="56"/>
      <x:c r="R96" s="56"/>
      <x:c r="S96" s="10"/>
      <x:c r="T96" s="10"/>
      <x:c r="U96" s="53"/>
      <x:c r="V96" s="10"/>
      <x:c r="W96" s="10"/>
      <x:c r="X96" s="10"/>
      <x:c r="Y96" s="10"/>
      <x:c r="Z96" s="13" t="str">
        <x:f>IF(INDEX('特性清单'!$B$7:$B$18,MATCH(C96,'特性清单'!$A$7:$A$18,0))="","",IF(INDEX('特性清单'!$H$7:$H$18,MATCH(C96,'特性清单'!$A$7:$A$18,0))="","",INDEX('特性清单'!$H$7:$H$18,MATCH(C96,'特性清单'!$A$7:$A$18,0))))</x:f>
      </x:c>
      <x:c r="AA96" s="50" t="str">
        <x:f>IF(AND(COUNT(H96:J96)=3,I96&gt;=H96,J96&gt;=0),ROUND((I96-H96)*1440-J96,2),"")</x:f>
      </x:c>
      <x:c r="AB96" s="51" t="str">
        <x:f>IF(AND(ISNUMBER(P96),ISNUMBER(Z96),Z96&gt;0,P96&gt;=0,P96&lt;=Z96),P96/Z96,"")</x:f>
      </x:c>
      <x:c r="AC96" s="51" t="str">
        <x:f>IF(AND(ISNUMBER(Q96),ISNUMBER(Z96),Z96&gt;0,Q96&gt;=0,Q96&lt;=Z96),Q96/Z96,"")</x:f>
      </x:c>
      <x:c r="AD96" s="13" t="str">
        <x:f>IF(AE96&lt;&gt;"纳入","",IF(AND(O96="完成",AC96=1,R96=0,S96="通过",T96="通过",AA96&lt;=AH96),1,0))</x:f>
      </x:c>
      <x:c r="AE96" s="13" t="str">
        <x:f>IF(O96="","待运行",IF(O96="进行中","进行中",IF(NOT(OR(O96="完成",O96="超时",O96="工具故障",O96="主动终止")),"需核对终态",IF(OR('试点设置'!$C$15&lt;&gt;"齐备",INDEX('特性清单'!$P$7:$P$18,MATCH(C96,'特性清单'!$A$7:$A$18,0))&lt;&gt;"齐备",D96&gt;INDEX('特性清单'!$K$7:$K$18,MATCH(C96,'特性清单'!$A$7:$A$18,0))),"待补齐试验设置",IF(NOT(AND(F96&lt;&gt;"",COUNT(G96:N96)=8,COUNT(P96:R96)=3,S96&lt;&gt;"",T96&lt;&gt;"",V96&lt;&gt;"",X96&lt;&gt;"",Y96&lt;&gt;"",AI96&lt;&gt;"")),"待补齐记录",IF(NOT(AND(G96&gt;=1,G96&lt;=4,MOD(G96,1)=0,I96&gt;=H96,MIN(J96:N96)&gt;=0,MOD(M96,1)=0,MOD(N96,1)=0,AA96&gt;=0,K96&lt;=AA96,L96&lt;=K96,MIN(P96:R96)&gt;=0,MOD(P96,1)=0,MOD(Q96,1)=0,MOD(R96,1)=0,P96&lt;=Z96,Q96&lt;=Z96,OR(S96="通过",S96="失败",S96="未完成"),OR(T96="通过",T96="失败",T96="未完成"),OR(AI96="新手",AI96="偶尔使用",AI96="经常使用"),COUNTIFS($A$7:$A$150,A96)=1)),"需核对数值或ID",IF(OR(AND(O96&lt;&gt;"完成",W96=""),AND(J96&gt;0,W96=""),AND(V96&lt;&gt;"一致",W96="")),"待说明原因",IF(V96&lt;&gt;"一致","条件偏差","纳入"))))))))</x:f>
        <x:v>待运行</x:v>
      </x:c>
      <x:c r="AF96" s="13" t="n">
        <x:f>IF(AE96&lt;&gt;"纳入",0,INDEX('配对比较'!$J$7:$J$42,MATCH(B96,'配对比较'!$A$7:$A$42,0)))</x:f>
        <x:v>0</x:v>
      </x:c>
      <x:c r="AG96" s="13" t="n">
        <x:f>IF(AE96&lt;&gt;"纳入",0,INDEX('配对比较'!$L$7:$L$42,MATCH(B96,'配对比较'!$A$7:$A$42,0)))</x:f>
        <x:v>0</x:v>
      </x:c>
      <x:c r="AH96" s="13" t="str">
        <x:f>IF(INDEX('特性清单'!$B$7:$B$18,MATCH(C96,'特性清单'!$A$7:$A$18,0))="","",IF(INDEX('特性清单'!$J$7:$J$18,MATCH(C96,'特性清单'!$A$7:$A$18,0))="","",INDEX('特性清单'!$J$7:$J$18,MATCH(C96,'特性清单'!$A$7:$A$18,0))))</x:f>
      </x:c>
      <x:c r="AI96" s="10"/>
      <x:c r="AJ96" s="13" t="n">
        <x:f>IF(AND(ISNUMBER(U96),U96&gt;=0),1,0)</x:f>
        <x:v>0</x:v>
      </x:c>
      <x:c r="AK96" s="13" t="str">
        <x:f>IF(AE96&lt;&gt;"纳入","",IF(OR(O96="超时",AA96&gt;AH96),1,0))</x:f>
      </x:c>
    </x:row>
    <x:row r="97" ht="25" customHeight="1">
      <x:c r="A97" s="13" t="str">
        <x:v>F08-R2-TR</x:v>
      </x:c>
      <x:c r="B97" s="13" t="str">
        <x:v>F08-R2</x:v>
      </x:c>
      <x:c r="C97" s="13" t="str">
        <x:v>F08</x:v>
      </x:c>
      <x:c r="D97" s="58" t="n">
        <x:v>2</x:v>
      </x:c>
      <x:c r="E97" s="13" t="str">
        <x:v>Trae</x:v>
      </x:c>
      <x:c r="F97" s="10"/>
      <x:c r="G97" s="56"/>
      <x:c r="H97" s="45"/>
      <x:c r="I97" s="45"/>
      <x:c r="J97" s="48"/>
      <x:c r="K97" s="48"/>
      <x:c r="L97" s="48"/>
      <x:c r="M97" s="56"/>
      <x:c r="N97" s="56"/>
      <x:c r="O97" s="10"/>
      <x:c r="P97" s="56"/>
      <x:c r="Q97" s="56"/>
      <x:c r="R97" s="56"/>
      <x:c r="S97" s="10"/>
      <x:c r="T97" s="10"/>
      <x:c r="U97" s="53"/>
      <x:c r="V97" s="10"/>
      <x:c r="W97" s="10"/>
      <x:c r="X97" s="10"/>
      <x:c r="Y97" s="10"/>
      <x:c r="Z97" s="13" t="str">
        <x:f>IF(INDEX('特性清单'!$B$7:$B$18,MATCH(C97,'特性清单'!$A$7:$A$18,0))="","",IF(INDEX('特性清单'!$H$7:$H$18,MATCH(C97,'特性清单'!$A$7:$A$18,0))="","",INDEX('特性清单'!$H$7:$H$18,MATCH(C97,'特性清单'!$A$7:$A$18,0))))</x:f>
      </x:c>
      <x:c r="AA97" s="50" t="str">
        <x:f>IF(AND(COUNT(H97:J97)=3,I97&gt;=H97,J97&gt;=0),ROUND((I97-H97)*1440-J97,2),"")</x:f>
      </x:c>
      <x:c r="AB97" s="51" t="str">
        <x:f>IF(AND(ISNUMBER(P97),ISNUMBER(Z97),Z97&gt;0,P97&gt;=0,P97&lt;=Z97),P97/Z97,"")</x:f>
      </x:c>
      <x:c r="AC97" s="51" t="str">
        <x:f>IF(AND(ISNUMBER(Q97),ISNUMBER(Z97),Z97&gt;0,Q97&gt;=0,Q97&lt;=Z97),Q97/Z97,"")</x:f>
      </x:c>
      <x:c r="AD97" s="13" t="str">
        <x:f>IF(AE97&lt;&gt;"纳入","",IF(AND(O97="完成",AC97=1,R97=0,S97="通过",T97="通过",AA97&lt;=AH97),1,0))</x:f>
      </x:c>
      <x:c r="AE97" s="13" t="str">
        <x:f>IF(O97="","待运行",IF(O97="进行中","进行中",IF(NOT(OR(O97="完成",O97="超时",O97="工具故障",O97="主动终止")),"需核对终态",IF(OR('试点设置'!$C$15&lt;&gt;"齐备",INDEX('特性清单'!$P$7:$P$18,MATCH(C97,'特性清单'!$A$7:$A$18,0))&lt;&gt;"齐备",D97&gt;INDEX('特性清单'!$K$7:$K$18,MATCH(C97,'特性清单'!$A$7:$A$18,0))),"待补齐试验设置",IF(NOT(AND(F97&lt;&gt;"",COUNT(G97:N97)=8,COUNT(P97:R97)=3,S97&lt;&gt;"",T97&lt;&gt;"",V97&lt;&gt;"",X97&lt;&gt;"",Y97&lt;&gt;"",AI97&lt;&gt;"")),"待补齐记录",IF(NOT(AND(G97&gt;=1,G97&lt;=4,MOD(G97,1)=0,I97&gt;=H97,MIN(J97:N97)&gt;=0,MOD(M97,1)=0,MOD(N97,1)=0,AA97&gt;=0,K97&lt;=AA97,L97&lt;=K97,MIN(P97:R97)&gt;=0,MOD(P97,1)=0,MOD(Q97,1)=0,MOD(R97,1)=0,P97&lt;=Z97,Q97&lt;=Z97,OR(S97="通过",S97="失败",S97="未完成"),OR(T97="通过",T97="失败",T97="未完成"),OR(AI97="新手",AI97="偶尔使用",AI97="经常使用"),COUNTIFS($A$7:$A$150,A97)=1)),"需核对数值或ID",IF(OR(AND(O97&lt;&gt;"完成",W97=""),AND(J97&gt;0,W97=""),AND(V97&lt;&gt;"一致",W97="")),"待说明原因",IF(V97&lt;&gt;"一致","条件偏差","纳入"))))))))</x:f>
        <x:v>待运行</x:v>
      </x:c>
      <x:c r="AF97" s="13" t="n">
        <x:f>IF(AE97&lt;&gt;"纳入",0,INDEX('配对比较'!$J$7:$J$42,MATCH(B97,'配对比较'!$A$7:$A$42,0)))</x:f>
        <x:v>0</x:v>
      </x:c>
      <x:c r="AG97" s="13" t="n">
        <x:f>IF(AE97&lt;&gt;"纳入",0,INDEX('配对比较'!$L$7:$L$42,MATCH(B97,'配对比较'!$A$7:$A$42,0)))</x:f>
        <x:v>0</x:v>
      </x:c>
      <x:c r="AH97" s="13" t="str">
        <x:f>IF(INDEX('特性清单'!$B$7:$B$18,MATCH(C97,'特性清单'!$A$7:$A$18,0))="","",IF(INDEX('特性清单'!$J$7:$J$18,MATCH(C97,'特性清单'!$A$7:$A$18,0))="","",INDEX('特性清单'!$J$7:$J$18,MATCH(C97,'特性清单'!$A$7:$A$18,0))))</x:f>
      </x:c>
      <x:c r="AI97" s="10"/>
      <x:c r="AJ97" s="13" t="n">
        <x:f>IF(AND(ISNUMBER(U97),U97&gt;=0),1,0)</x:f>
        <x:v>0</x:v>
      </x:c>
      <x:c r="AK97" s="13" t="str">
        <x:f>IF(AE97&lt;&gt;"纳入","",IF(OR(O97="超时",AA97&gt;AH97),1,0))</x:f>
      </x:c>
    </x:row>
    <x:row r="98" ht="25" customHeight="1">
      <x:c r="A98" s="13" t="str">
        <x:v>F08-R2-CA</x:v>
      </x:c>
      <x:c r="B98" s="13" t="str">
        <x:v>F08-R2</x:v>
      </x:c>
      <x:c r="C98" s="13" t="str">
        <x:v>F08</x:v>
      </x:c>
      <x:c r="D98" s="58" t="n">
        <x:v>2</x:v>
      </x:c>
      <x:c r="E98" s="13" t="str">
        <x:v>CodeArts</x:v>
      </x:c>
      <x:c r="F98" s="10"/>
      <x:c r="G98" s="56"/>
      <x:c r="H98" s="45"/>
      <x:c r="I98" s="45"/>
      <x:c r="J98" s="48"/>
      <x:c r="K98" s="48"/>
      <x:c r="L98" s="48"/>
      <x:c r="M98" s="56"/>
      <x:c r="N98" s="56"/>
      <x:c r="O98" s="10"/>
      <x:c r="P98" s="56"/>
      <x:c r="Q98" s="56"/>
      <x:c r="R98" s="56"/>
      <x:c r="S98" s="10"/>
      <x:c r="T98" s="10"/>
      <x:c r="U98" s="53"/>
      <x:c r="V98" s="10"/>
      <x:c r="W98" s="10"/>
      <x:c r="X98" s="10"/>
      <x:c r="Y98" s="10"/>
      <x:c r="Z98" s="13" t="str">
        <x:f>IF(INDEX('特性清单'!$B$7:$B$18,MATCH(C98,'特性清单'!$A$7:$A$18,0))="","",IF(INDEX('特性清单'!$H$7:$H$18,MATCH(C98,'特性清单'!$A$7:$A$18,0))="","",INDEX('特性清单'!$H$7:$H$18,MATCH(C98,'特性清单'!$A$7:$A$18,0))))</x:f>
      </x:c>
      <x:c r="AA98" s="50" t="str">
        <x:f>IF(AND(COUNT(H98:J98)=3,I98&gt;=H98,J98&gt;=0),ROUND((I98-H98)*1440-J98,2),"")</x:f>
      </x:c>
      <x:c r="AB98" s="51" t="str">
        <x:f>IF(AND(ISNUMBER(P98),ISNUMBER(Z98),Z98&gt;0,P98&gt;=0,P98&lt;=Z98),P98/Z98,"")</x:f>
      </x:c>
      <x:c r="AC98" s="51" t="str">
        <x:f>IF(AND(ISNUMBER(Q98),ISNUMBER(Z98),Z98&gt;0,Q98&gt;=0,Q98&lt;=Z98),Q98/Z98,"")</x:f>
      </x:c>
      <x:c r="AD98" s="13" t="str">
        <x:f>IF(AE98&lt;&gt;"纳入","",IF(AND(O98="完成",AC98=1,R98=0,S98="通过",T98="通过",AA98&lt;=AH98),1,0))</x:f>
      </x:c>
      <x:c r="AE98" s="13" t="str">
        <x:f>IF(O98="","待运行",IF(O98="进行中","进行中",IF(NOT(OR(O98="完成",O98="超时",O98="工具故障",O98="主动终止")),"需核对终态",IF(OR('试点设置'!$C$15&lt;&gt;"齐备",INDEX('特性清单'!$P$7:$P$18,MATCH(C98,'特性清单'!$A$7:$A$18,0))&lt;&gt;"齐备",D98&gt;INDEX('特性清单'!$K$7:$K$18,MATCH(C98,'特性清单'!$A$7:$A$18,0))),"待补齐试验设置",IF(NOT(AND(F98&lt;&gt;"",COUNT(G98:N98)=8,COUNT(P98:R98)=3,S98&lt;&gt;"",T98&lt;&gt;"",V98&lt;&gt;"",X98&lt;&gt;"",Y98&lt;&gt;"",AI98&lt;&gt;"")),"待补齐记录",IF(NOT(AND(G98&gt;=1,G98&lt;=4,MOD(G98,1)=0,I98&gt;=H98,MIN(J98:N98)&gt;=0,MOD(M98,1)=0,MOD(N98,1)=0,AA98&gt;=0,K98&lt;=AA98,L98&lt;=K98,MIN(P98:R98)&gt;=0,MOD(P98,1)=0,MOD(Q98,1)=0,MOD(R98,1)=0,P98&lt;=Z98,Q98&lt;=Z98,OR(S98="通过",S98="失败",S98="未完成"),OR(T98="通过",T98="失败",T98="未完成"),OR(AI98="新手",AI98="偶尔使用",AI98="经常使用"),COUNTIFS($A$7:$A$150,A98)=1)),"需核对数值或ID",IF(OR(AND(O98&lt;&gt;"完成",W98=""),AND(J98&gt;0,W98=""),AND(V98&lt;&gt;"一致",W98="")),"待说明原因",IF(V98&lt;&gt;"一致","条件偏差","纳入"))))))))</x:f>
        <x:v>待运行</x:v>
      </x:c>
      <x:c r="AF98" s="13" t="n">
        <x:f>IF(AE98&lt;&gt;"纳入",0,INDEX('配对比较'!$J$7:$J$42,MATCH(B98,'配对比较'!$A$7:$A$42,0)))</x:f>
        <x:v>0</x:v>
      </x:c>
      <x:c r="AG98" s="13" t="n">
        <x:f>IF(AE98&lt;&gt;"纳入",0,INDEX('配对比较'!$L$7:$L$42,MATCH(B98,'配对比较'!$A$7:$A$42,0)))</x:f>
        <x:v>0</x:v>
      </x:c>
      <x:c r="AH98" s="13" t="str">
        <x:f>IF(INDEX('特性清单'!$B$7:$B$18,MATCH(C98,'特性清单'!$A$7:$A$18,0))="","",IF(INDEX('特性清单'!$J$7:$J$18,MATCH(C98,'特性清单'!$A$7:$A$18,0))="","",INDEX('特性清单'!$J$7:$J$18,MATCH(C98,'特性清单'!$A$7:$A$18,0))))</x:f>
      </x:c>
      <x:c r="AI98" s="10"/>
      <x:c r="AJ98" s="13" t="n">
        <x:f>IF(AND(ISNUMBER(U98),U98&gt;=0),1,0)</x:f>
        <x:v>0</x:v>
      </x:c>
      <x:c r="AK98" s="13" t="str">
        <x:f>IF(AE98&lt;&gt;"纳入","",IF(OR(O98="超时",AA98&gt;AH98),1,0))</x:f>
      </x:c>
    </x:row>
    <x:row r="99" ht="25" customHeight="1">
      <x:c r="A99" s="13" t="str">
        <x:v>F08-R3-CC</x:v>
      </x:c>
      <x:c r="B99" s="13" t="str">
        <x:v>F08-R3</x:v>
      </x:c>
      <x:c r="C99" s="13" t="str">
        <x:v>F08</x:v>
      </x:c>
      <x:c r="D99" s="58" t="n">
        <x:v>3</x:v>
      </x:c>
      <x:c r="E99" s="13" t="str">
        <x:v>Claude Code</x:v>
      </x:c>
      <x:c r="F99" s="10"/>
      <x:c r="G99" s="56"/>
      <x:c r="H99" s="45"/>
      <x:c r="I99" s="45"/>
      <x:c r="J99" s="48"/>
      <x:c r="K99" s="48"/>
      <x:c r="L99" s="48"/>
      <x:c r="M99" s="56"/>
      <x:c r="N99" s="56"/>
      <x:c r="O99" s="10"/>
      <x:c r="P99" s="56"/>
      <x:c r="Q99" s="56"/>
      <x:c r="R99" s="56"/>
      <x:c r="S99" s="10"/>
      <x:c r="T99" s="10"/>
      <x:c r="U99" s="53"/>
      <x:c r="V99" s="10"/>
      <x:c r="W99" s="10"/>
      <x:c r="X99" s="10"/>
      <x:c r="Y99" s="10"/>
      <x:c r="Z99" s="13" t="str">
        <x:f>IF(INDEX('特性清单'!$B$7:$B$18,MATCH(C99,'特性清单'!$A$7:$A$18,0))="","",IF(INDEX('特性清单'!$H$7:$H$18,MATCH(C99,'特性清单'!$A$7:$A$18,0))="","",INDEX('特性清单'!$H$7:$H$18,MATCH(C99,'特性清单'!$A$7:$A$18,0))))</x:f>
      </x:c>
      <x:c r="AA99" s="50" t="str">
        <x:f>IF(AND(COUNT(H99:J99)=3,I99&gt;=H99,J99&gt;=0),ROUND((I99-H99)*1440-J99,2),"")</x:f>
      </x:c>
      <x:c r="AB99" s="51" t="str">
        <x:f>IF(AND(ISNUMBER(P99),ISNUMBER(Z99),Z99&gt;0,P99&gt;=0,P99&lt;=Z99),P99/Z99,"")</x:f>
      </x:c>
      <x:c r="AC99" s="51" t="str">
        <x:f>IF(AND(ISNUMBER(Q99),ISNUMBER(Z99),Z99&gt;0,Q99&gt;=0,Q99&lt;=Z99),Q99/Z99,"")</x:f>
      </x:c>
      <x:c r="AD99" s="13" t="str">
        <x:f>IF(AE99&lt;&gt;"纳入","",IF(AND(O99="完成",AC99=1,R99=0,S99="通过",T99="通过",AA99&lt;=AH99),1,0))</x:f>
      </x:c>
      <x:c r="AE99" s="13" t="str">
        <x:f>IF(O99="","待运行",IF(O99="进行中","进行中",IF(NOT(OR(O99="完成",O99="超时",O99="工具故障",O99="主动终止")),"需核对终态",IF(OR('试点设置'!$C$15&lt;&gt;"齐备",INDEX('特性清单'!$P$7:$P$18,MATCH(C99,'特性清单'!$A$7:$A$18,0))&lt;&gt;"齐备",D99&gt;INDEX('特性清单'!$K$7:$K$18,MATCH(C99,'特性清单'!$A$7:$A$18,0))),"待补齐试验设置",IF(NOT(AND(F99&lt;&gt;"",COUNT(G99:N99)=8,COUNT(P99:R99)=3,S99&lt;&gt;"",T99&lt;&gt;"",V99&lt;&gt;"",X99&lt;&gt;"",Y99&lt;&gt;"",AI99&lt;&gt;"")),"待补齐记录",IF(NOT(AND(G99&gt;=1,G99&lt;=4,MOD(G99,1)=0,I99&gt;=H99,MIN(J99:N99)&gt;=0,MOD(M99,1)=0,MOD(N99,1)=0,AA99&gt;=0,K99&lt;=AA99,L99&lt;=K99,MIN(P99:R99)&gt;=0,MOD(P99,1)=0,MOD(Q99,1)=0,MOD(R99,1)=0,P99&lt;=Z99,Q99&lt;=Z99,OR(S99="通过",S99="失败",S99="未完成"),OR(T99="通过",T99="失败",T99="未完成"),OR(AI99="新手",AI99="偶尔使用",AI99="经常使用"),COUNTIFS($A$7:$A$150,A99)=1)),"需核对数值或ID",IF(OR(AND(O99&lt;&gt;"完成",W99=""),AND(J99&gt;0,W99=""),AND(V99&lt;&gt;"一致",W99="")),"待说明原因",IF(V99&lt;&gt;"一致","条件偏差","纳入"))))))))</x:f>
        <x:v>待运行</x:v>
      </x:c>
      <x:c r="AF99" s="13" t="n">
        <x:f>IF(AE99&lt;&gt;"纳入",0,INDEX('配对比较'!$J$7:$J$42,MATCH(B99,'配对比较'!$A$7:$A$42,0)))</x:f>
        <x:v>0</x:v>
      </x:c>
      <x:c r="AG99" s="13" t="n">
        <x:f>IF(AE99&lt;&gt;"纳入",0,INDEX('配对比较'!$L$7:$L$42,MATCH(B99,'配对比较'!$A$7:$A$42,0)))</x:f>
        <x:v>0</x:v>
      </x:c>
      <x:c r="AH99" s="13" t="str">
        <x:f>IF(INDEX('特性清单'!$B$7:$B$18,MATCH(C99,'特性清单'!$A$7:$A$18,0))="","",IF(INDEX('特性清单'!$J$7:$J$18,MATCH(C99,'特性清单'!$A$7:$A$18,0))="","",INDEX('特性清单'!$J$7:$J$18,MATCH(C99,'特性清单'!$A$7:$A$18,0))))</x:f>
      </x:c>
      <x:c r="AI99" s="10"/>
      <x:c r="AJ99" s="13" t="n">
        <x:f>IF(AND(ISNUMBER(U99),U99&gt;=0),1,0)</x:f>
        <x:v>0</x:v>
      </x:c>
      <x:c r="AK99" s="13" t="str">
        <x:f>IF(AE99&lt;&gt;"纳入","",IF(OR(O99="超时",AA99&gt;AH99),1,0))</x:f>
      </x:c>
    </x:row>
    <x:row r="100" ht="25" customHeight="1">
      <x:c r="A100" s="13" t="str">
        <x:v>F08-R3-CX</x:v>
      </x:c>
      <x:c r="B100" s="13" t="str">
        <x:v>F08-R3</x:v>
      </x:c>
      <x:c r="C100" s="13" t="str">
        <x:v>F08</x:v>
      </x:c>
      <x:c r="D100" s="58" t="n">
        <x:v>3</x:v>
      </x:c>
      <x:c r="E100" s="13" t="str">
        <x:v>Codex</x:v>
      </x:c>
      <x:c r="F100" s="10"/>
      <x:c r="G100" s="56"/>
      <x:c r="H100" s="45"/>
      <x:c r="I100" s="45"/>
      <x:c r="J100" s="48"/>
      <x:c r="K100" s="48"/>
      <x:c r="L100" s="48"/>
      <x:c r="M100" s="56"/>
      <x:c r="N100" s="56"/>
      <x:c r="O100" s="10"/>
      <x:c r="P100" s="56"/>
      <x:c r="Q100" s="56"/>
      <x:c r="R100" s="56"/>
      <x:c r="S100" s="10"/>
      <x:c r="T100" s="10"/>
      <x:c r="U100" s="53"/>
      <x:c r="V100" s="10"/>
      <x:c r="W100" s="10"/>
      <x:c r="X100" s="10"/>
      <x:c r="Y100" s="10"/>
      <x:c r="Z100" s="13" t="str">
        <x:f>IF(INDEX('特性清单'!$B$7:$B$18,MATCH(C100,'特性清单'!$A$7:$A$18,0))="","",IF(INDEX('特性清单'!$H$7:$H$18,MATCH(C100,'特性清单'!$A$7:$A$18,0))="","",INDEX('特性清单'!$H$7:$H$18,MATCH(C100,'特性清单'!$A$7:$A$18,0))))</x:f>
      </x:c>
      <x:c r="AA100" s="50" t="str">
        <x:f>IF(AND(COUNT(H100:J100)=3,I100&gt;=H100,J100&gt;=0),ROUND((I100-H100)*1440-J100,2),"")</x:f>
      </x:c>
      <x:c r="AB100" s="51" t="str">
        <x:f>IF(AND(ISNUMBER(P100),ISNUMBER(Z100),Z100&gt;0,P100&gt;=0,P100&lt;=Z100),P100/Z100,"")</x:f>
      </x:c>
      <x:c r="AC100" s="51" t="str">
        <x:f>IF(AND(ISNUMBER(Q100),ISNUMBER(Z100),Z100&gt;0,Q100&gt;=0,Q100&lt;=Z100),Q100/Z100,"")</x:f>
      </x:c>
      <x:c r="AD100" s="13" t="str">
        <x:f>IF(AE100&lt;&gt;"纳入","",IF(AND(O100="完成",AC100=1,R100=0,S100="通过",T100="通过",AA100&lt;=AH100),1,0))</x:f>
      </x:c>
      <x:c r="AE100" s="13" t="str">
        <x:f>IF(O100="","待运行",IF(O100="进行中","进行中",IF(NOT(OR(O100="完成",O100="超时",O100="工具故障",O100="主动终止")),"需核对终态",IF(OR('试点设置'!$C$15&lt;&gt;"齐备",INDEX('特性清单'!$P$7:$P$18,MATCH(C100,'特性清单'!$A$7:$A$18,0))&lt;&gt;"齐备",D100&gt;INDEX('特性清单'!$K$7:$K$18,MATCH(C100,'特性清单'!$A$7:$A$18,0))),"待补齐试验设置",IF(NOT(AND(F100&lt;&gt;"",COUNT(G100:N100)=8,COUNT(P100:R100)=3,S100&lt;&gt;"",T100&lt;&gt;"",V100&lt;&gt;"",X100&lt;&gt;"",Y100&lt;&gt;"",AI100&lt;&gt;"")),"待补齐记录",IF(NOT(AND(G100&gt;=1,G100&lt;=4,MOD(G100,1)=0,I100&gt;=H100,MIN(J100:N100)&gt;=0,MOD(M100,1)=0,MOD(N100,1)=0,AA100&gt;=0,K100&lt;=AA100,L100&lt;=K100,MIN(P100:R100)&gt;=0,MOD(P100,1)=0,MOD(Q100,1)=0,MOD(R100,1)=0,P100&lt;=Z100,Q100&lt;=Z100,OR(S100="通过",S100="失败",S100="未完成"),OR(T100="通过",T100="失败",T100="未完成"),OR(AI100="新手",AI100="偶尔使用",AI100="经常使用"),COUNTIFS($A$7:$A$150,A100)=1)),"需核对数值或ID",IF(OR(AND(O100&lt;&gt;"完成",W100=""),AND(J100&gt;0,W100=""),AND(V100&lt;&gt;"一致",W100="")),"待说明原因",IF(V100&lt;&gt;"一致","条件偏差","纳入"))))))))</x:f>
        <x:v>待运行</x:v>
      </x:c>
      <x:c r="AF100" s="13" t="n">
        <x:f>IF(AE100&lt;&gt;"纳入",0,INDEX('配对比较'!$J$7:$J$42,MATCH(B100,'配对比较'!$A$7:$A$42,0)))</x:f>
        <x:v>0</x:v>
      </x:c>
      <x:c r="AG100" s="13" t="n">
        <x:f>IF(AE100&lt;&gt;"纳入",0,INDEX('配对比较'!$L$7:$L$42,MATCH(B100,'配对比较'!$A$7:$A$42,0)))</x:f>
        <x:v>0</x:v>
      </x:c>
      <x:c r="AH100" s="13" t="str">
        <x:f>IF(INDEX('特性清单'!$B$7:$B$18,MATCH(C100,'特性清单'!$A$7:$A$18,0))="","",IF(INDEX('特性清单'!$J$7:$J$18,MATCH(C100,'特性清单'!$A$7:$A$18,0))="","",INDEX('特性清单'!$J$7:$J$18,MATCH(C100,'特性清单'!$A$7:$A$18,0))))</x:f>
      </x:c>
      <x:c r="AI100" s="10"/>
      <x:c r="AJ100" s="13" t="n">
        <x:f>IF(AND(ISNUMBER(U100),U100&gt;=0),1,0)</x:f>
        <x:v>0</x:v>
      </x:c>
      <x:c r="AK100" s="13" t="str">
        <x:f>IF(AE100&lt;&gt;"纳入","",IF(OR(O100="超时",AA100&gt;AH100),1,0))</x:f>
      </x:c>
    </x:row>
    <x:row r="101" ht="25" customHeight="1">
      <x:c r="A101" s="13" t="str">
        <x:v>F08-R3-TR</x:v>
      </x:c>
      <x:c r="B101" s="13" t="str">
        <x:v>F08-R3</x:v>
      </x:c>
      <x:c r="C101" s="13" t="str">
        <x:v>F08</x:v>
      </x:c>
      <x:c r="D101" s="58" t="n">
        <x:v>3</x:v>
      </x:c>
      <x:c r="E101" s="13" t="str">
        <x:v>Trae</x:v>
      </x:c>
      <x:c r="F101" s="10"/>
      <x:c r="G101" s="56"/>
      <x:c r="H101" s="45"/>
      <x:c r="I101" s="45"/>
      <x:c r="J101" s="48"/>
      <x:c r="K101" s="48"/>
      <x:c r="L101" s="48"/>
      <x:c r="M101" s="56"/>
      <x:c r="N101" s="56"/>
      <x:c r="O101" s="10"/>
      <x:c r="P101" s="56"/>
      <x:c r="Q101" s="56"/>
      <x:c r="R101" s="56"/>
      <x:c r="S101" s="10"/>
      <x:c r="T101" s="10"/>
      <x:c r="U101" s="53"/>
      <x:c r="V101" s="10"/>
      <x:c r="W101" s="10"/>
      <x:c r="X101" s="10"/>
      <x:c r="Y101" s="10"/>
      <x:c r="Z101" s="13" t="str">
        <x:f>IF(INDEX('特性清单'!$B$7:$B$18,MATCH(C101,'特性清单'!$A$7:$A$18,0))="","",IF(INDEX('特性清单'!$H$7:$H$18,MATCH(C101,'特性清单'!$A$7:$A$18,0))="","",INDEX('特性清单'!$H$7:$H$18,MATCH(C101,'特性清单'!$A$7:$A$18,0))))</x:f>
      </x:c>
      <x:c r="AA101" s="50" t="str">
        <x:f>IF(AND(COUNT(H101:J101)=3,I101&gt;=H101,J101&gt;=0),ROUND((I101-H101)*1440-J101,2),"")</x:f>
      </x:c>
      <x:c r="AB101" s="51" t="str">
        <x:f>IF(AND(ISNUMBER(P101),ISNUMBER(Z101),Z101&gt;0,P101&gt;=0,P101&lt;=Z101),P101/Z101,"")</x:f>
      </x:c>
      <x:c r="AC101" s="51" t="str">
        <x:f>IF(AND(ISNUMBER(Q101),ISNUMBER(Z101),Z101&gt;0,Q101&gt;=0,Q101&lt;=Z101),Q101/Z101,"")</x:f>
      </x:c>
      <x:c r="AD101" s="13" t="str">
        <x:f>IF(AE101&lt;&gt;"纳入","",IF(AND(O101="完成",AC101=1,R101=0,S101="通过",T101="通过",AA101&lt;=AH101),1,0))</x:f>
      </x:c>
      <x:c r="AE101" s="13" t="str">
        <x:f>IF(O101="","待运行",IF(O101="进行中","进行中",IF(NOT(OR(O101="完成",O101="超时",O101="工具故障",O101="主动终止")),"需核对终态",IF(OR('试点设置'!$C$15&lt;&gt;"齐备",INDEX('特性清单'!$P$7:$P$18,MATCH(C101,'特性清单'!$A$7:$A$18,0))&lt;&gt;"齐备",D101&gt;INDEX('特性清单'!$K$7:$K$18,MATCH(C101,'特性清单'!$A$7:$A$18,0))),"待补齐试验设置",IF(NOT(AND(F101&lt;&gt;"",COUNT(G101:N101)=8,COUNT(P101:R101)=3,S101&lt;&gt;"",T101&lt;&gt;"",V101&lt;&gt;"",X101&lt;&gt;"",Y101&lt;&gt;"",AI101&lt;&gt;"")),"待补齐记录",IF(NOT(AND(G101&gt;=1,G101&lt;=4,MOD(G101,1)=0,I101&gt;=H101,MIN(J101:N101)&gt;=0,MOD(M101,1)=0,MOD(N101,1)=0,AA101&gt;=0,K101&lt;=AA101,L101&lt;=K101,MIN(P101:R101)&gt;=0,MOD(P101,1)=0,MOD(Q101,1)=0,MOD(R101,1)=0,P101&lt;=Z101,Q101&lt;=Z101,OR(S101="通过",S101="失败",S101="未完成"),OR(T101="通过",T101="失败",T101="未完成"),OR(AI101="新手",AI101="偶尔使用",AI101="经常使用"),COUNTIFS($A$7:$A$150,A101)=1)),"需核对数值或ID",IF(OR(AND(O101&lt;&gt;"完成",W101=""),AND(J101&gt;0,W101=""),AND(V101&lt;&gt;"一致",W101="")),"待说明原因",IF(V101&lt;&gt;"一致","条件偏差","纳入"))))))))</x:f>
        <x:v>待运行</x:v>
      </x:c>
      <x:c r="AF101" s="13" t="n">
        <x:f>IF(AE101&lt;&gt;"纳入",0,INDEX('配对比较'!$J$7:$J$42,MATCH(B101,'配对比较'!$A$7:$A$42,0)))</x:f>
        <x:v>0</x:v>
      </x:c>
      <x:c r="AG101" s="13" t="n">
        <x:f>IF(AE101&lt;&gt;"纳入",0,INDEX('配对比较'!$L$7:$L$42,MATCH(B101,'配对比较'!$A$7:$A$42,0)))</x:f>
        <x:v>0</x:v>
      </x:c>
      <x:c r="AH101" s="13" t="str">
        <x:f>IF(INDEX('特性清单'!$B$7:$B$18,MATCH(C101,'特性清单'!$A$7:$A$18,0))="","",IF(INDEX('特性清单'!$J$7:$J$18,MATCH(C101,'特性清单'!$A$7:$A$18,0))="","",INDEX('特性清单'!$J$7:$J$18,MATCH(C101,'特性清单'!$A$7:$A$18,0))))</x:f>
      </x:c>
      <x:c r="AI101" s="10"/>
      <x:c r="AJ101" s="13" t="n">
        <x:f>IF(AND(ISNUMBER(U101),U101&gt;=0),1,0)</x:f>
        <x:v>0</x:v>
      </x:c>
      <x:c r="AK101" s="13" t="str">
        <x:f>IF(AE101&lt;&gt;"纳入","",IF(OR(O101="超时",AA101&gt;AH101),1,0))</x:f>
      </x:c>
    </x:row>
    <x:row r="102" ht="25" customHeight="1">
      <x:c r="A102" s="13" t="str">
        <x:v>F08-R3-CA</x:v>
      </x:c>
      <x:c r="B102" s="13" t="str">
        <x:v>F08-R3</x:v>
      </x:c>
      <x:c r="C102" s="13" t="str">
        <x:v>F08</x:v>
      </x:c>
      <x:c r="D102" s="58" t="n">
        <x:v>3</x:v>
      </x:c>
      <x:c r="E102" s="13" t="str">
        <x:v>CodeArts</x:v>
      </x:c>
      <x:c r="F102" s="10"/>
      <x:c r="G102" s="56"/>
      <x:c r="H102" s="45"/>
      <x:c r="I102" s="45"/>
      <x:c r="J102" s="48"/>
      <x:c r="K102" s="48"/>
      <x:c r="L102" s="48"/>
      <x:c r="M102" s="56"/>
      <x:c r="N102" s="56"/>
      <x:c r="O102" s="10"/>
      <x:c r="P102" s="56"/>
      <x:c r="Q102" s="56"/>
      <x:c r="R102" s="56"/>
      <x:c r="S102" s="10"/>
      <x:c r="T102" s="10"/>
      <x:c r="U102" s="53"/>
      <x:c r="V102" s="10"/>
      <x:c r="W102" s="10"/>
      <x:c r="X102" s="10"/>
      <x:c r="Y102" s="10"/>
      <x:c r="Z102" s="13" t="str">
        <x:f>IF(INDEX('特性清单'!$B$7:$B$18,MATCH(C102,'特性清单'!$A$7:$A$18,0))="","",IF(INDEX('特性清单'!$H$7:$H$18,MATCH(C102,'特性清单'!$A$7:$A$18,0))="","",INDEX('特性清单'!$H$7:$H$18,MATCH(C102,'特性清单'!$A$7:$A$18,0))))</x:f>
      </x:c>
      <x:c r="AA102" s="50" t="str">
        <x:f>IF(AND(COUNT(H102:J102)=3,I102&gt;=H102,J102&gt;=0),ROUND((I102-H102)*1440-J102,2),"")</x:f>
      </x:c>
      <x:c r="AB102" s="51" t="str">
        <x:f>IF(AND(ISNUMBER(P102),ISNUMBER(Z102),Z102&gt;0,P102&gt;=0,P102&lt;=Z102),P102/Z102,"")</x:f>
      </x:c>
      <x:c r="AC102" s="51" t="str">
        <x:f>IF(AND(ISNUMBER(Q102),ISNUMBER(Z102),Z102&gt;0,Q102&gt;=0,Q102&lt;=Z102),Q102/Z102,"")</x:f>
      </x:c>
      <x:c r="AD102" s="13" t="str">
        <x:f>IF(AE102&lt;&gt;"纳入","",IF(AND(O102="完成",AC102=1,R102=0,S102="通过",T102="通过",AA102&lt;=AH102),1,0))</x:f>
      </x:c>
      <x:c r="AE102" s="13" t="str">
        <x:f>IF(O102="","待运行",IF(O102="进行中","进行中",IF(NOT(OR(O102="完成",O102="超时",O102="工具故障",O102="主动终止")),"需核对终态",IF(OR('试点设置'!$C$15&lt;&gt;"齐备",INDEX('特性清单'!$P$7:$P$18,MATCH(C102,'特性清单'!$A$7:$A$18,0))&lt;&gt;"齐备",D102&gt;INDEX('特性清单'!$K$7:$K$18,MATCH(C102,'特性清单'!$A$7:$A$18,0))),"待补齐试验设置",IF(NOT(AND(F102&lt;&gt;"",COUNT(G102:N102)=8,COUNT(P102:R102)=3,S102&lt;&gt;"",T102&lt;&gt;"",V102&lt;&gt;"",X102&lt;&gt;"",Y102&lt;&gt;"",AI102&lt;&gt;"")),"待补齐记录",IF(NOT(AND(G102&gt;=1,G102&lt;=4,MOD(G102,1)=0,I102&gt;=H102,MIN(J102:N102)&gt;=0,MOD(M102,1)=0,MOD(N102,1)=0,AA102&gt;=0,K102&lt;=AA102,L102&lt;=K102,MIN(P102:R102)&gt;=0,MOD(P102,1)=0,MOD(Q102,1)=0,MOD(R102,1)=0,P102&lt;=Z102,Q102&lt;=Z102,OR(S102="通过",S102="失败",S102="未完成"),OR(T102="通过",T102="失败",T102="未完成"),OR(AI102="新手",AI102="偶尔使用",AI102="经常使用"),COUNTIFS($A$7:$A$150,A102)=1)),"需核对数值或ID",IF(OR(AND(O102&lt;&gt;"完成",W102=""),AND(J102&gt;0,W102=""),AND(V102&lt;&gt;"一致",W102="")),"待说明原因",IF(V102&lt;&gt;"一致","条件偏差","纳入"))))))))</x:f>
        <x:v>待运行</x:v>
      </x:c>
      <x:c r="AF102" s="13" t="n">
        <x:f>IF(AE102&lt;&gt;"纳入",0,INDEX('配对比较'!$J$7:$J$42,MATCH(B102,'配对比较'!$A$7:$A$42,0)))</x:f>
        <x:v>0</x:v>
      </x:c>
      <x:c r="AG102" s="13" t="n">
        <x:f>IF(AE102&lt;&gt;"纳入",0,INDEX('配对比较'!$L$7:$L$42,MATCH(B102,'配对比较'!$A$7:$A$42,0)))</x:f>
        <x:v>0</x:v>
      </x:c>
      <x:c r="AH102" s="13" t="str">
        <x:f>IF(INDEX('特性清单'!$B$7:$B$18,MATCH(C102,'特性清单'!$A$7:$A$18,0))="","",IF(INDEX('特性清单'!$J$7:$J$18,MATCH(C102,'特性清单'!$A$7:$A$18,0))="","",INDEX('特性清单'!$J$7:$J$18,MATCH(C102,'特性清单'!$A$7:$A$18,0))))</x:f>
      </x:c>
      <x:c r="AI102" s="10"/>
      <x:c r="AJ102" s="13" t="n">
        <x:f>IF(AND(ISNUMBER(U102),U102&gt;=0),1,0)</x:f>
        <x:v>0</x:v>
      </x:c>
      <x:c r="AK102" s="13" t="str">
        <x:f>IF(AE102&lt;&gt;"纳入","",IF(OR(O102="超时",AA102&gt;AH102),1,0))</x:f>
      </x:c>
    </x:row>
    <x:row r="103" ht="25" customHeight="1">
      <x:c r="A103" s="13" t="str">
        <x:v>F09-R1-CC</x:v>
      </x:c>
      <x:c r="B103" s="13" t="str">
        <x:v>F09-R1</x:v>
      </x:c>
      <x:c r="C103" s="13" t="str">
        <x:v>F09</x:v>
      </x:c>
      <x:c r="D103" s="58" t="n">
        <x:v>1</x:v>
      </x:c>
      <x:c r="E103" s="13" t="str">
        <x:v>Claude Code</x:v>
      </x:c>
      <x:c r="F103" s="10"/>
      <x:c r="G103" s="56"/>
      <x:c r="H103" s="45"/>
      <x:c r="I103" s="45"/>
      <x:c r="J103" s="48"/>
      <x:c r="K103" s="48"/>
      <x:c r="L103" s="48"/>
      <x:c r="M103" s="56"/>
      <x:c r="N103" s="56"/>
      <x:c r="O103" s="10"/>
      <x:c r="P103" s="56"/>
      <x:c r="Q103" s="56"/>
      <x:c r="R103" s="56"/>
      <x:c r="S103" s="10"/>
      <x:c r="T103" s="10"/>
      <x:c r="U103" s="53"/>
      <x:c r="V103" s="10"/>
      <x:c r="W103" s="10"/>
      <x:c r="X103" s="10"/>
      <x:c r="Y103" s="10"/>
      <x:c r="Z103" s="13" t="str">
        <x:f>IF(INDEX('特性清单'!$B$7:$B$18,MATCH(C103,'特性清单'!$A$7:$A$18,0))="","",IF(INDEX('特性清单'!$H$7:$H$18,MATCH(C103,'特性清单'!$A$7:$A$18,0))="","",INDEX('特性清单'!$H$7:$H$18,MATCH(C103,'特性清单'!$A$7:$A$18,0))))</x:f>
      </x:c>
      <x:c r="AA103" s="50" t="str">
        <x:f>IF(AND(COUNT(H103:J103)=3,I103&gt;=H103,J103&gt;=0),ROUND((I103-H103)*1440-J103,2),"")</x:f>
      </x:c>
      <x:c r="AB103" s="51" t="str">
        <x:f>IF(AND(ISNUMBER(P103),ISNUMBER(Z103),Z103&gt;0,P103&gt;=0,P103&lt;=Z103),P103/Z103,"")</x:f>
      </x:c>
      <x:c r="AC103" s="51" t="str">
        <x:f>IF(AND(ISNUMBER(Q103),ISNUMBER(Z103),Z103&gt;0,Q103&gt;=0,Q103&lt;=Z103),Q103/Z103,"")</x:f>
      </x:c>
      <x:c r="AD103" s="13" t="str">
        <x:f>IF(AE103&lt;&gt;"纳入","",IF(AND(O103="完成",AC103=1,R103=0,S103="通过",T103="通过",AA103&lt;=AH103),1,0))</x:f>
      </x:c>
      <x:c r="AE103" s="13" t="str">
        <x:f>IF(O103="","待运行",IF(O103="进行中","进行中",IF(NOT(OR(O103="完成",O103="超时",O103="工具故障",O103="主动终止")),"需核对终态",IF(OR('试点设置'!$C$15&lt;&gt;"齐备",INDEX('特性清单'!$P$7:$P$18,MATCH(C103,'特性清单'!$A$7:$A$18,0))&lt;&gt;"齐备",D103&gt;INDEX('特性清单'!$K$7:$K$18,MATCH(C103,'特性清单'!$A$7:$A$18,0))),"待补齐试验设置",IF(NOT(AND(F103&lt;&gt;"",COUNT(G103:N103)=8,COUNT(P103:R103)=3,S103&lt;&gt;"",T103&lt;&gt;"",V103&lt;&gt;"",X103&lt;&gt;"",Y103&lt;&gt;"",AI103&lt;&gt;"")),"待补齐记录",IF(NOT(AND(G103&gt;=1,G103&lt;=4,MOD(G103,1)=0,I103&gt;=H103,MIN(J103:N103)&gt;=0,MOD(M103,1)=0,MOD(N103,1)=0,AA103&gt;=0,K103&lt;=AA103,L103&lt;=K103,MIN(P103:R103)&gt;=0,MOD(P103,1)=0,MOD(Q103,1)=0,MOD(R103,1)=0,P103&lt;=Z103,Q103&lt;=Z103,OR(S103="通过",S103="失败",S103="未完成"),OR(T103="通过",T103="失败",T103="未完成"),OR(AI103="新手",AI103="偶尔使用",AI103="经常使用"),COUNTIFS($A$7:$A$150,A103)=1)),"需核对数值或ID",IF(OR(AND(O103&lt;&gt;"完成",W103=""),AND(J103&gt;0,W103=""),AND(V103&lt;&gt;"一致",W103="")),"待说明原因",IF(V103&lt;&gt;"一致","条件偏差","纳入"))))))))</x:f>
        <x:v>待运行</x:v>
      </x:c>
      <x:c r="AF103" s="13" t="n">
        <x:f>IF(AE103&lt;&gt;"纳入",0,INDEX('配对比较'!$J$7:$J$42,MATCH(B103,'配对比较'!$A$7:$A$42,0)))</x:f>
        <x:v>0</x:v>
      </x:c>
      <x:c r="AG103" s="13" t="n">
        <x:f>IF(AE103&lt;&gt;"纳入",0,INDEX('配对比较'!$L$7:$L$42,MATCH(B103,'配对比较'!$A$7:$A$42,0)))</x:f>
        <x:v>0</x:v>
      </x:c>
      <x:c r="AH103" s="13" t="str">
        <x:f>IF(INDEX('特性清单'!$B$7:$B$18,MATCH(C103,'特性清单'!$A$7:$A$18,0))="","",IF(INDEX('特性清单'!$J$7:$J$18,MATCH(C103,'特性清单'!$A$7:$A$18,0))="","",INDEX('特性清单'!$J$7:$J$18,MATCH(C103,'特性清单'!$A$7:$A$18,0))))</x:f>
      </x:c>
      <x:c r="AI103" s="10"/>
      <x:c r="AJ103" s="13" t="n">
        <x:f>IF(AND(ISNUMBER(U103),U103&gt;=0),1,0)</x:f>
        <x:v>0</x:v>
      </x:c>
      <x:c r="AK103" s="13" t="str">
        <x:f>IF(AE103&lt;&gt;"纳入","",IF(OR(O103="超时",AA103&gt;AH103),1,0))</x:f>
      </x:c>
    </x:row>
    <x:row r="104" ht="25" customHeight="1">
      <x:c r="A104" s="13" t="str">
        <x:v>F09-R1-CX</x:v>
      </x:c>
      <x:c r="B104" s="13" t="str">
        <x:v>F09-R1</x:v>
      </x:c>
      <x:c r="C104" s="13" t="str">
        <x:v>F09</x:v>
      </x:c>
      <x:c r="D104" s="58" t="n">
        <x:v>1</x:v>
      </x:c>
      <x:c r="E104" s="13" t="str">
        <x:v>Codex</x:v>
      </x:c>
      <x:c r="F104" s="10"/>
      <x:c r="G104" s="56"/>
      <x:c r="H104" s="45"/>
      <x:c r="I104" s="45"/>
      <x:c r="J104" s="48"/>
      <x:c r="K104" s="48"/>
      <x:c r="L104" s="48"/>
      <x:c r="M104" s="56"/>
      <x:c r="N104" s="56"/>
      <x:c r="O104" s="10"/>
      <x:c r="P104" s="56"/>
      <x:c r="Q104" s="56"/>
      <x:c r="R104" s="56"/>
      <x:c r="S104" s="10"/>
      <x:c r="T104" s="10"/>
      <x:c r="U104" s="53"/>
      <x:c r="V104" s="10"/>
      <x:c r="W104" s="10"/>
      <x:c r="X104" s="10"/>
      <x:c r="Y104" s="10"/>
      <x:c r="Z104" s="13" t="str">
        <x:f>IF(INDEX('特性清单'!$B$7:$B$18,MATCH(C104,'特性清单'!$A$7:$A$18,0))="","",IF(INDEX('特性清单'!$H$7:$H$18,MATCH(C104,'特性清单'!$A$7:$A$18,0))="","",INDEX('特性清单'!$H$7:$H$18,MATCH(C104,'特性清单'!$A$7:$A$18,0))))</x:f>
      </x:c>
      <x:c r="AA104" s="50" t="str">
        <x:f>IF(AND(COUNT(H104:J104)=3,I104&gt;=H104,J104&gt;=0),ROUND((I104-H104)*1440-J104,2),"")</x:f>
      </x:c>
      <x:c r="AB104" s="51" t="str">
        <x:f>IF(AND(ISNUMBER(P104),ISNUMBER(Z104),Z104&gt;0,P104&gt;=0,P104&lt;=Z104),P104/Z104,"")</x:f>
      </x:c>
      <x:c r="AC104" s="51" t="str">
        <x:f>IF(AND(ISNUMBER(Q104),ISNUMBER(Z104),Z104&gt;0,Q104&gt;=0,Q104&lt;=Z104),Q104/Z104,"")</x:f>
      </x:c>
      <x:c r="AD104" s="13" t="str">
        <x:f>IF(AE104&lt;&gt;"纳入","",IF(AND(O104="完成",AC104=1,R104=0,S104="通过",T104="通过",AA104&lt;=AH104),1,0))</x:f>
      </x:c>
      <x:c r="AE104" s="13" t="str">
        <x:f>IF(O104="","待运行",IF(O104="进行中","进行中",IF(NOT(OR(O104="完成",O104="超时",O104="工具故障",O104="主动终止")),"需核对终态",IF(OR('试点设置'!$C$15&lt;&gt;"齐备",INDEX('特性清单'!$P$7:$P$18,MATCH(C104,'特性清单'!$A$7:$A$18,0))&lt;&gt;"齐备",D104&gt;INDEX('特性清单'!$K$7:$K$18,MATCH(C104,'特性清单'!$A$7:$A$18,0))),"待补齐试验设置",IF(NOT(AND(F104&lt;&gt;"",COUNT(G104:N104)=8,COUNT(P104:R104)=3,S104&lt;&gt;"",T104&lt;&gt;"",V104&lt;&gt;"",X104&lt;&gt;"",Y104&lt;&gt;"",AI104&lt;&gt;"")),"待补齐记录",IF(NOT(AND(G104&gt;=1,G104&lt;=4,MOD(G104,1)=0,I104&gt;=H104,MIN(J104:N104)&gt;=0,MOD(M104,1)=0,MOD(N104,1)=0,AA104&gt;=0,K104&lt;=AA104,L104&lt;=K104,MIN(P104:R104)&gt;=0,MOD(P104,1)=0,MOD(Q104,1)=0,MOD(R104,1)=0,P104&lt;=Z104,Q104&lt;=Z104,OR(S104="通过",S104="失败",S104="未完成"),OR(T104="通过",T104="失败",T104="未完成"),OR(AI104="新手",AI104="偶尔使用",AI104="经常使用"),COUNTIFS($A$7:$A$150,A104)=1)),"需核对数值或ID",IF(OR(AND(O104&lt;&gt;"完成",W104=""),AND(J104&gt;0,W104=""),AND(V104&lt;&gt;"一致",W104="")),"待说明原因",IF(V104&lt;&gt;"一致","条件偏差","纳入"))))))))</x:f>
        <x:v>待运行</x:v>
      </x:c>
      <x:c r="AF104" s="13" t="n">
        <x:f>IF(AE104&lt;&gt;"纳入",0,INDEX('配对比较'!$J$7:$J$42,MATCH(B104,'配对比较'!$A$7:$A$42,0)))</x:f>
        <x:v>0</x:v>
      </x:c>
      <x:c r="AG104" s="13" t="n">
        <x:f>IF(AE104&lt;&gt;"纳入",0,INDEX('配对比较'!$L$7:$L$42,MATCH(B104,'配对比较'!$A$7:$A$42,0)))</x:f>
        <x:v>0</x:v>
      </x:c>
      <x:c r="AH104" s="13" t="str">
        <x:f>IF(INDEX('特性清单'!$B$7:$B$18,MATCH(C104,'特性清单'!$A$7:$A$18,0))="","",IF(INDEX('特性清单'!$J$7:$J$18,MATCH(C104,'特性清单'!$A$7:$A$18,0))="","",INDEX('特性清单'!$J$7:$J$18,MATCH(C104,'特性清单'!$A$7:$A$18,0))))</x:f>
      </x:c>
      <x:c r="AI104" s="10"/>
      <x:c r="AJ104" s="13" t="n">
        <x:f>IF(AND(ISNUMBER(U104),U104&gt;=0),1,0)</x:f>
        <x:v>0</x:v>
      </x:c>
      <x:c r="AK104" s="13" t="str">
        <x:f>IF(AE104&lt;&gt;"纳入","",IF(OR(O104="超时",AA104&gt;AH104),1,0))</x:f>
      </x:c>
    </x:row>
    <x:row r="105" ht="25" customHeight="1">
      <x:c r="A105" s="13" t="str">
        <x:v>F09-R1-TR</x:v>
      </x:c>
      <x:c r="B105" s="13" t="str">
        <x:v>F09-R1</x:v>
      </x:c>
      <x:c r="C105" s="13" t="str">
        <x:v>F09</x:v>
      </x:c>
      <x:c r="D105" s="58" t="n">
        <x:v>1</x:v>
      </x:c>
      <x:c r="E105" s="13" t="str">
        <x:v>Trae</x:v>
      </x:c>
      <x:c r="F105" s="10"/>
      <x:c r="G105" s="56"/>
      <x:c r="H105" s="45"/>
      <x:c r="I105" s="45"/>
      <x:c r="J105" s="48"/>
      <x:c r="K105" s="48"/>
      <x:c r="L105" s="48"/>
      <x:c r="M105" s="56"/>
      <x:c r="N105" s="56"/>
      <x:c r="O105" s="10"/>
      <x:c r="P105" s="56"/>
      <x:c r="Q105" s="56"/>
      <x:c r="R105" s="56"/>
      <x:c r="S105" s="10"/>
      <x:c r="T105" s="10"/>
      <x:c r="U105" s="53"/>
      <x:c r="V105" s="10"/>
      <x:c r="W105" s="10"/>
      <x:c r="X105" s="10"/>
      <x:c r="Y105" s="10"/>
      <x:c r="Z105" s="13" t="str">
        <x:f>IF(INDEX('特性清单'!$B$7:$B$18,MATCH(C105,'特性清单'!$A$7:$A$18,0))="","",IF(INDEX('特性清单'!$H$7:$H$18,MATCH(C105,'特性清单'!$A$7:$A$18,0))="","",INDEX('特性清单'!$H$7:$H$18,MATCH(C105,'特性清单'!$A$7:$A$18,0))))</x:f>
      </x:c>
      <x:c r="AA105" s="50" t="str">
        <x:f>IF(AND(COUNT(H105:J105)=3,I105&gt;=H105,J105&gt;=0),ROUND((I105-H105)*1440-J105,2),"")</x:f>
      </x:c>
      <x:c r="AB105" s="51" t="str">
        <x:f>IF(AND(ISNUMBER(P105),ISNUMBER(Z105),Z105&gt;0,P105&gt;=0,P105&lt;=Z105),P105/Z105,"")</x:f>
      </x:c>
      <x:c r="AC105" s="51" t="str">
        <x:f>IF(AND(ISNUMBER(Q105),ISNUMBER(Z105),Z105&gt;0,Q105&gt;=0,Q105&lt;=Z105),Q105/Z105,"")</x:f>
      </x:c>
      <x:c r="AD105" s="13" t="str">
        <x:f>IF(AE105&lt;&gt;"纳入","",IF(AND(O105="完成",AC105=1,R105=0,S105="通过",T105="通过",AA105&lt;=AH105),1,0))</x:f>
      </x:c>
      <x:c r="AE105" s="13" t="str">
        <x:f>IF(O105="","待运行",IF(O105="进行中","进行中",IF(NOT(OR(O105="完成",O105="超时",O105="工具故障",O105="主动终止")),"需核对终态",IF(OR('试点设置'!$C$15&lt;&gt;"齐备",INDEX('特性清单'!$P$7:$P$18,MATCH(C105,'特性清单'!$A$7:$A$18,0))&lt;&gt;"齐备",D105&gt;INDEX('特性清单'!$K$7:$K$18,MATCH(C105,'特性清单'!$A$7:$A$18,0))),"待补齐试验设置",IF(NOT(AND(F105&lt;&gt;"",COUNT(G105:N105)=8,COUNT(P105:R105)=3,S105&lt;&gt;"",T105&lt;&gt;"",V105&lt;&gt;"",X105&lt;&gt;"",Y105&lt;&gt;"",AI105&lt;&gt;"")),"待补齐记录",IF(NOT(AND(G105&gt;=1,G105&lt;=4,MOD(G105,1)=0,I105&gt;=H105,MIN(J105:N105)&gt;=0,MOD(M105,1)=0,MOD(N105,1)=0,AA105&gt;=0,K105&lt;=AA105,L105&lt;=K105,MIN(P105:R105)&gt;=0,MOD(P105,1)=0,MOD(Q105,1)=0,MOD(R105,1)=0,P105&lt;=Z105,Q105&lt;=Z105,OR(S105="通过",S105="失败",S105="未完成"),OR(T105="通过",T105="失败",T105="未完成"),OR(AI105="新手",AI105="偶尔使用",AI105="经常使用"),COUNTIFS($A$7:$A$150,A105)=1)),"需核对数值或ID",IF(OR(AND(O105&lt;&gt;"完成",W105=""),AND(J105&gt;0,W105=""),AND(V105&lt;&gt;"一致",W105="")),"待说明原因",IF(V105&lt;&gt;"一致","条件偏差","纳入"))))))))</x:f>
        <x:v>待运行</x:v>
      </x:c>
      <x:c r="AF105" s="13" t="n">
        <x:f>IF(AE105&lt;&gt;"纳入",0,INDEX('配对比较'!$J$7:$J$42,MATCH(B105,'配对比较'!$A$7:$A$42,0)))</x:f>
        <x:v>0</x:v>
      </x:c>
      <x:c r="AG105" s="13" t="n">
        <x:f>IF(AE105&lt;&gt;"纳入",0,INDEX('配对比较'!$L$7:$L$42,MATCH(B105,'配对比较'!$A$7:$A$42,0)))</x:f>
        <x:v>0</x:v>
      </x:c>
      <x:c r="AH105" s="13" t="str">
        <x:f>IF(INDEX('特性清单'!$B$7:$B$18,MATCH(C105,'特性清单'!$A$7:$A$18,0))="","",IF(INDEX('特性清单'!$J$7:$J$18,MATCH(C105,'特性清单'!$A$7:$A$18,0))="","",INDEX('特性清单'!$J$7:$J$18,MATCH(C105,'特性清单'!$A$7:$A$18,0))))</x:f>
      </x:c>
      <x:c r="AI105" s="10"/>
      <x:c r="AJ105" s="13" t="n">
        <x:f>IF(AND(ISNUMBER(U105),U105&gt;=0),1,0)</x:f>
        <x:v>0</x:v>
      </x:c>
      <x:c r="AK105" s="13" t="str">
        <x:f>IF(AE105&lt;&gt;"纳入","",IF(OR(O105="超时",AA105&gt;AH105),1,0))</x:f>
      </x:c>
    </x:row>
    <x:row r="106" ht="25" customHeight="1">
      <x:c r="A106" s="13" t="str">
        <x:v>F09-R1-CA</x:v>
      </x:c>
      <x:c r="B106" s="13" t="str">
        <x:v>F09-R1</x:v>
      </x:c>
      <x:c r="C106" s="13" t="str">
        <x:v>F09</x:v>
      </x:c>
      <x:c r="D106" s="58" t="n">
        <x:v>1</x:v>
      </x:c>
      <x:c r="E106" s="13" t="str">
        <x:v>CodeArts</x:v>
      </x:c>
      <x:c r="F106" s="10"/>
      <x:c r="G106" s="56"/>
      <x:c r="H106" s="45"/>
      <x:c r="I106" s="45"/>
      <x:c r="J106" s="48"/>
      <x:c r="K106" s="48"/>
      <x:c r="L106" s="48"/>
      <x:c r="M106" s="56"/>
      <x:c r="N106" s="56"/>
      <x:c r="O106" s="10"/>
      <x:c r="P106" s="56"/>
      <x:c r="Q106" s="56"/>
      <x:c r="R106" s="56"/>
      <x:c r="S106" s="10"/>
      <x:c r="T106" s="10"/>
      <x:c r="U106" s="53"/>
      <x:c r="V106" s="10"/>
      <x:c r="W106" s="10"/>
      <x:c r="X106" s="10"/>
      <x:c r="Y106" s="10"/>
      <x:c r="Z106" s="13" t="str">
        <x:f>IF(INDEX('特性清单'!$B$7:$B$18,MATCH(C106,'特性清单'!$A$7:$A$18,0))="","",IF(INDEX('特性清单'!$H$7:$H$18,MATCH(C106,'特性清单'!$A$7:$A$18,0))="","",INDEX('特性清单'!$H$7:$H$18,MATCH(C106,'特性清单'!$A$7:$A$18,0))))</x:f>
      </x:c>
      <x:c r="AA106" s="50" t="str">
        <x:f>IF(AND(COUNT(H106:J106)=3,I106&gt;=H106,J106&gt;=0),ROUND((I106-H106)*1440-J106,2),"")</x:f>
      </x:c>
      <x:c r="AB106" s="51" t="str">
        <x:f>IF(AND(ISNUMBER(P106),ISNUMBER(Z106),Z106&gt;0,P106&gt;=0,P106&lt;=Z106),P106/Z106,"")</x:f>
      </x:c>
      <x:c r="AC106" s="51" t="str">
        <x:f>IF(AND(ISNUMBER(Q106),ISNUMBER(Z106),Z106&gt;0,Q106&gt;=0,Q106&lt;=Z106),Q106/Z106,"")</x:f>
      </x:c>
      <x:c r="AD106" s="13" t="str">
        <x:f>IF(AE106&lt;&gt;"纳入","",IF(AND(O106="完成",AC106=1,R106=0,S106="通过",T106="通过",AA106&lt;=AH106),1,0))</x:f>
      </x:c>
      <x:c r="AE106" s="13" t="str">
        <x:f>IF(O106="","待运行",IF(O106="进行中","进行中",IF(NOT(OR(O106="完成",O106="超时",O106="工具故障",O106="主动终止")),"需核对终态",IF(OR('试点设置'!$C$15&lt;&gt;"齐备",INDEX('特性清单'!$P$7:$P$18,MATCH(C106,'特性清单'!$A$7:$A$18,0))&lt;&gt;"齐备",D106&gt;INDEX('特性清单'!$K$7:$K$18,MATCH(C106,'特性清单'!$A$7:$A$18,0))),"待补齐试验设置",IF(NOT(AND(F106&lt;&gt;"",COUNT(G106:N106)=8,COUNT(P106:R106)=3,S106&lt;&gt;"",T106&lt;&gt;"",V106&lt;&gt;"",X106&lt;&gt;"",Y106&lt;&gt;"",AI106&lt;&gt;"")),"待补齐记录",IF(NOT(AND(G106&gt;=1,G106&lt;=4,MOD(G106,1)=0,I106&gt;=H106,MIN(J106:N106)&gt;=0,MOD(M106,1)=0,MOD(N106,1)=0,AA106&gt;=0,K106&lt;=AA106,L106&lt;=K106,MIN(P106:R106)&gt;=0,MOD(P106,1)=0,MOD(Q106,1)=0,MOD(R106,1)=0,P106&lt;=Z106,Q106&lt;=Z106,OR(S106="通过",S106="失败",S106="未完成"),OR(T106="通过",T106="失败",T106="未完成"),OR(AI106="新手",AI106="偶尔使用",AI106="经常使用"),COUNTIFS($A$7:$A$150,A106)=1)),"需核对数值或ID",IF(OR(AND(O106&lt;&gt;"完成",W106=""),AND(J106&gt;0,W106=""),AND(V106&lt;&gt;"一致",W106="")),"待说明原因",IF(V106&lt;&gt;"一致","条件偏差","纳入"))))))))</x:f>
        <x:v>待运行</x:v>
      </x:c>
      <x:c r="AF106" s="13" t="n">
        <x:f>IF(AE106&lt;&gt;"纳入",0,INDEX('配对比较'!$J$7:$J$42,MATCH(B106,'配对比较'!$A$7:$A$42,0)))</x:f>
        <x:v>0</x:v>
      </x:c>
      <x:c r="AG106" s="13" t="n">
        <x:f>IF(AE106&lt;&gt;"纳入",0,INDEX('配对比较'!$L$7:$L$42,MATCH(B106,'配对比较'!$A$7:$A$42,0)))</x:f>
        <x:v>0</x:v>
      </x:c>
      <x:c r="AH106" s="13" t="str">
        <x:f>IF(INDEX('特性清单'!$B$7:$B$18,MATCH(C106,'特性清单'!$A$7:$A$18,0))="","",IF(INDEX('特性清单'!$J$7:$J$18,MATCH(C106,'特性清单'!$A$7:$A$18,0))="","",INDEX('特性清单'!$J$7:$J$18,MATCH(C106,'特性清单'!$A$7:$A$18,0))))</x:f>
      </x:c>
      <x:c r="AI106" s="10"/>
      <x:c r="AJ106" s="13" t="n">
        <x:f>IF(AND(ISNUMBER(U106),U106&gt;=0),1,0)</x:f>
        <x:v>0</x:v>
      </x:c>
      <x:c r="AK106" s="13" t="str">
        <x:f>IF(AE106&lt;&gt;"纳入","",IF(OR(O106="超时",AA106&gt;AH106),1,0))</x:f>
      </x:c>
    </x:row>
    <x:row r="107" ht="25" customHeight="1">
      <x:c r="A107" s="13" t="str">
        <x:v>F09-R2-CC</x:v>
      </x:c>
      <x:c r="B107" s="13" t="str">
        <x:v>F09-R2</x:v>
      </x:c>
      <x:c r="C107" s="13" t="str">
        <x:v>F09</x:v>
      </x:c>
      <x:c r="D107" s="58" t="n">
        <x:v>2</x:v>
      </x:c>
      <x:c r="E107" s="13" t="str">
        <x:v>Claude Code</x:v>
      </x:c>
      <x:c r="F107" s="10"/>
      <x:c r="G107" s="56"/>
      <x:c r="H107" s="45"/>
      <x:c r="I107" s="45"/>
      <x:c r="J107" s="48"/>
      <x:c r="K107" s="48"/>
      <x:c r="L107" s="48"/>
      <x:c r="M107" s="56"/>
      <x:c r="N107" s="56"/>
      <x:c r="O107" s="10"/>
      <x:c r="P107" s="56"/>
      <x:c r="Q107" s="56"/>
      <x:c r="R107" s="56"/>
      <x:c r="S107" s="10"/>
      <x:c r="T107" s="10"/>
      <x:c r="U107" s="53"/>
      <x:c r="V107" s="10"/>
      <x:c r="W107" s="10"/>
      <x:c r="X107" s="10"/>
      <x:c r="Y107" s="10"/>
      <x:c r="Z107" s="13" t="str">
        <x:f>IF(INDEX('特性清单'!$B$7:$B$18,MATCH(C107,'特性清单'!$A$7:$A$18,0))="","",IF(INDEX('特性清单'!$H$7:$H$18,MATCH(C107,'特性清单'!$A$7:$A$18,0))="","",INDEX('特性清单'!$H$7:$H$18,MATCH(C107,'特性清单'!$A$7:$A$18,0))))</x:f>
      </x:c>
      <x:c r="AA107" s="50" t="str">
        <x:f>IF(AND(COUNT(H107:J107)=3,I107&gt;=H107,J107&gt;=0),ROUND((I107-H107)*1440-J107,2),"")</x:f>
      </x:c>
      <x:c r="AB107" s="51" t="str">
        <x:f>IF(AND(ISNUMBER(P107),ISNUMBER(Z107),Z107&gt;0,P107&gt;=0,P107&lt;=Z107),P107/Z107,"")</x:f>
      </x:c>
      <x:c r="AC107" s="51" t="str">
        <x:f>IF(AND(ISNUMBER(Q107),ISNUMBER(Z107),Z107&gt;0,Q107&gt;=0,Q107&lt;=Z107),Q107/Z107,"")</x:f>
      </x:c>
      <x:c r="AD107" s="13" t="str">
        <x:f>IF(AE107&lt;&gt;"纳入","",IF(AND(O107="完成",AC107=1,R107=0,S107="通过",T107="通过",AA107&lt;=AH107),1,0))</x:f>
      </x:c>
      <x:c r="AE107" s="13" t="str">
        <x:f>IF(O107="","待运行",IF(O107="进行中","进行中",IF(NOT(OR(O107="完成",O107="超时",O107="工具故障",O107="主动终止")),"需核对终态",IF(OR('试点设置'!$C$15&lt;&gt;"齐备",INDEX('特性清单'!$P$7:$P$18,MATCH(C107,'特性清单'!$A$7:$A$18,0))&lt;&gt;"齐备",D107&gt;INDEX('特性清单'!$K$7:$K$18,MATCH(C107,'特性清单'!$A$7:$A$18,0))),"待补齐试验设置",IF(NOT(AND(F107&lt;&gt;"",COUNT(G107:N107)=8,COUNT(P107:R107)=3,S107&lt;&gt;"",T107&lt;&gt;"",V107&lt;&gt;"",X107&lt;&gt;"",Y107&lt;&gt;"",AI107&lt;&gt;"")),"待补齐记录",IF(NOT(AND(G107&gt;=1,G107&lt;=4,MOD(G107,1)=0,I107&gt;=H107,MIN(J107:N107)&gt;=0,MOD(M107,1)=0,MOD(N107,1)=0,AA107&gt;=0,K107&lt;=AA107,L107&lt;=K107,MIN(P107:R107)&gt;=0,MOD(P107,1)=0,MOD(Q107,1)=0,MOD(R107,1)=0,P107&lt;=Z107,Q107&lt;=Z107,OR(S107="通过",S107="失败",S107="未完成"),OR(T107="通过",T107="失败",T107="未完成"),OR(AI107="新手",AI107="偶尔使用",AI107="经常使用"),COUNTIFS($A$7:$A$150,A107)=1)),"需核对数值或ID",IF(OR(AND(O107&lt;&gt;"完成",W107=""),AND(J107&gt;0,W107=""),AND(V107&lt;&gt;"一致",W107="")),"待说明原因",IF(V107&lt;&gt;"一致","条件偏差","纳入"))))))))</x:f>
        <x:v>待运行</x:v>
      </x:c>
      <x:c r="AF107" s="13" t="n">
        <x:f>IF(AE107&lt;&gt;"纳入",0,INDEX('配对比较'!$J$7:$J$42,MATCH(B107,'配对比较'!$A$7:$A$42,0)))</x:f>
        <x:v>0</x:v>
      </x:c>
      <x:c r="AG107" s="13" t="n">
        <x:f>IF(AE107&lt;&gt;"纳入",0,INDEX('配对比较'!$L$7:$L$42,MATCH(B107,'配对比较'!$A$7:$A$42,0)))</x:f>
        <x:v>0</x:v>
      </x:c>
      <x:c r="AH107" s="13" t="str">
        <x:f>IF(INDEX('特性清单'!$B$7:$B$18,MATCH(C107,'特性清单'!$A$7:$A$18,0))="","",IF(INDEX('特性清单'!$J$7:$J$18,MATCH(C107,'特性清单'!$A$7:$A$18,0))="","",INDEX('特性清单'!$J$7:$J$18,MATCH(C107,'特性清单'!$A$7:$A$18,0))))</x:f>
      </x:c>
      <x:c r="AI107" s="10"/>
      <x:c r="AJ107" s="13" t="n">
        <x:f>IF(AND(ISNUMBER(U107),U107&gt;=0),1,0)</x:f>
        <x:v>0</x:v>
      </x:c>
      <x:c r="AK107" s="13" t="str">
        <x:f>IF(AE107&lt;&gt;"纳入","",IF(OR(O107="超时",AA107&gt;AH107),1,0))</x:f>
      </x:c>
    </x:row>
    <x:row r="108" ht="25" customHeight="1">
      <x:c r="A108" s="13" t="str">
        <x:v>F09-R2-CX</x:v>
      </x:c>
      <x:c r="B108" s="13" t="str">
        <x:v>F09-R2</x:v>
      </x:c>
      <x:c r="C108" s="13" t="str">
        <x:v>F09</x:v>
      </x:c>
      <x:c r="D108" s="58" t="n">
        <x:v>2</x:v>
      </x:c>
      <x:c r="E108" s="13" t="str">
        <x:v>Codex</x:v>
      </x:c>
      <x:c r="F108" s="10"/>
      <x:c r="G108" s="56"/>
      <x:c r="H108" s="45"/>
      <x:c r="I108" s="45"/>
      <x:c r="J108" s="48"/>
      <x:c r="K108" s="48"/>
      <x:c r="L108" s="48"/>
      <x:c r="M108" s="56"/>
      <x:c r="N108" s="56"/>
      <x:c r="O108" s="10"/>
      <x:c r="P108" s="56"/>
      <x:c r="Q108" s="56"/>
      <x:c r="R108" s="56"/>
      <x:c r="S108" s="10"/>
      <x:c r="T108" s="10"/>
      <x:c r="U108" s="53"/>
      <x:c r="V108" s="10"/>
      <x:c r="W108" s="10"/>
      <x:c r="X108" s="10"/>
      <x:c r="Y108" s="10"/>
      <x:c r="Z108" s="13" t="str">
        <x:f>IF(INDEX('特性清单'!$B$7:$B$18,MATCH(C108,'特性清单'!$A$7:$A$18,0))="","",IF(INDEX('特性清单'!$H$7:$H$18,MATCH(C108,'特性清单'!$A$7:$A$18,0))="","",INDEX('特性清单'!$H$7:$H$18,MATCH(C108,'特性清单'!$A$7:$A$18,0))))</x:f>
      </x:c>
      <x:c r="AA108" s="50" t="str">
        <x:f>IF(AND(COUNT(H108:J108)=3,I108&gt;=H108,J108&gt;=0),ROUND((I108-H108)*1440-J108,2),"")</x:f>
      </x:c>
      <x:c r="AB108" s="51" t="str">
        <x:f>IF(AND(ISNUMBER(P108),ISNUMBER(Z108),Z108&gt;0,P108&gt;=0,P108&lt;=Z108),P108/Z108,"")</x:f>
      </x:c>
      <x:c r="AC108" s="51" t="str">
        <x:f>IF(AND(ISNUMBER(Q108),ISNUMBER(Z108),Z108&gt;0,Q108&gt;=0,Q108&lt;=Z108),Q108/Z108,"")</x:f>
      </x:c>
      <x:c r="AD108" s="13" t="str">
        <x:f>IF(AE108&lt;&gt;"纳入","",IF(AND(O108="完成",AC108=1,R108=0,S108="通过",T108="通过",AA108&lt;=AH108),1,0))</x:f>
      </x:c>
      <x:c r="AE108" s="13" t="str">
        <x:f>IF(O108="","待运行",IF(O108="进行中","进行中",IF(NOT(OR(O108="完成",O108="超时",O108="工具故障",O108="主动终止")),"需核对终态",IF(OR('试点设置'!$C$15&lt;&gt;"齐备",INDEX('特性清单'!$P$7:$P$18,MATCH(C108,'特性清单'!$A$7:$A$18,0))&lt;&gt;"齐备",D108&gt;INDEX('特性清单'!$K$7:$K$18,MATCH(C108,'特性清单'!$A$7:$A$18,0))),"待补齐试验设置",IF(NOT(AND(F108&lt;&gt;"",COUNT(G108:N108)=8,COUNT(P108:R108)=3,S108&lt;&gt;"",T108&lt;&gt;"",V108&lt;&gt;"",X108&lt;&gt;"",Y108&lt;&gt;"",AI108&lt;&gt;"")),"待补齐记录",IF(NOT(AND(G108&gt;=1,G108&lt;=4,MOD(G108,1)=0,I108&gt;=H108,MIN(J108:N108)&gt;=0,MOD(M108,1)=0,MOD(N108,1)=0,AA108&gt;=0,K108&lt;=AA108,L108&lt;=K108,MIN(P108:R108)&gt;=0,MOD(P108,1)=0,MOD(Q108,1)=0,MOD(R108,1)=0,P108&lt;=Z108,Q108&lt;=Z108,OR(S108="通过",S108="失败",S108="未完成"),OR(T108="通过",T108="失败",T108="未完成"),OR(AI108="新手",AI108="偶尔使用",AI108="经常使用"),COUNTIFS($A$7:$A$150,A108)=1)),"需核对数值或ID",IF(OR(AND(O108&lt;&gt;"完成",W108=""),AND(J108&gt;0,W108=""),AND(V108&lt;&gt;"一致",W108="")),"待说明原因",IF(V108&lt;&gt;"一致","条件偏差","纳入"))))))))</x:f>
        <x:v>待运行</x:v>
      </x:c>
      <x:c r="AF108" s="13" t="n">
        <x:f>IF(AE108&lt;&gt;"纳入",0,INDEX('配对比较'!$J$7:$J$42,MATCH(B108,'配对比较'!$A$7:$A$42,0)))</x:f>
        <x:v>0</x:v>
      </x:c>
      <x:c r="AG108" s="13" t="n">
        <x:f>IF(AE108&lt;&gt;"纳入",0,INDEX('配对比较'!$L$7:$L$42,MATCH(B108,'配对比较'!$A$7:$A$42,0)))</x:f>
        <x:v>0</x:v>
      </x:c>
      <x:c r="AH108" s="13" t="str">
        <x:f>IF(INDEX('特性清单'!$B$7:$B$18,MATCH(C108,'特性清单'!$A$7:$A$18,0))="","",IF(INDEX('特性清单'!$J$7:$J$18,MATCH(C108,'特性清单'!$A$7:$A$18,0))="","",INDEX('特性清单'!$J$7:$J$18,MATCH(C108,'特性清单'!$A$7:$A$18,0))))</x:f>
      </x:c>
      <x:c r="AI108" s="10"/>
      <x:c r="AJ108" s="13" t="n">
        <x:f>IF(AND(ISNUMBER(U108),U108&gt;=0),1,0)</x:f>
        <x:v>0</x:v>
      </x:c>
      <x:c r="AK108" s="13" t="str">
        <x:f>IF(AE108&lt;&gt;"纳入","",IF(OR(O108="超时",AA108&gt;AH108),1,0))</x:f>
      </x:c>
    </x:row>
    <x:row r="109" ht="25" customHeight="1">
      <x:c r="A109" s="13" t="str">
        <x:v>F09-R2-TR</x:v>
      </x:c>
      <x:c r="B109" s="13" t="str">
        <x:v>F09-R2</x:v>
      </x:c>
      <x:c r="C109" s="13" t="str">
        <x:v>F09</x:v>
      </x:c>
      <x:c r="D109" s="58" t="n">
        <x:v>2</x:v>
      </x:c>
      <x:c r="E109" s="13" t="str">
        <x:v>Trae</x:v>
      </x:c>
      <x:c r="F109" s="10"/>
      <x:c r="G109" s="56"/>
      <x:c r="H109" s="45"/>
      <x:c r="I109" s="45"/>
      <x:c r="J109" s="48"/>
      <x:c r="K109" s="48"/>
      <x:c r="L109" s="48"/>
      <x:c r="M109" s="56"/>
      <x:c r="N109" s="56"/>
      <x:c r="O109" s="10"/>
      <x:c r="P109" s="56"/>
      <x:c r="Q109" s="56"/>
      <x:c r="R109" s="56"/>
      <x:c r="S109" s="10"/>
      <x:c r="T109" s="10"/>
      <x:c r="U109" s="53"/>
      <x:c r="V109" s="10"/>
      <x:c r="W109" s="10"/>
      <x:c r="X109" s="10"/>
      <x:c r="Y109" s="10"/>
      <x:c r="Z109" s="13" t="str">
        <x:f>IF(INDEX('特性清单'!$B$7:$B$18,MATCH(C109,'特性清单'!$A$7:$A$18,0))="","",IF(INDEX('特性清单'!$H$7:$H$18,MATCH(C109,'特性清单'!$A$7:$A$18,0))="","",INDEX('特性清单'!$H$7:$H$18,MATCH(C109,'特性清单'!$A$7:$A$18,0))))</x:f>
      </x:c>
      <x:c r="AA109" s="50" t="str">
        <x:f>IF(AND(COUNT(H109:J109)=3,I109&gt;=H109,J109&gt;=0),ROUND((I109-H109)*1440-J109,2),"")</x:f>
      </x:c>
      <x:c r="AB109" s="51" t="str">
        <x:f>IF(AND(ISNUMBER(P109),ISNUMBER(Z109),Z109&gt;0,P109&gt;=0,P109&lt;=Z109),P109/Z109,"")</x:f>
      </x:c>
      <x:c r="AC109" s="51" t="str">
        <x:f>IF(AND(ISNUMBER(Q109),ISNUMBER(Z109),Z109&gt;0,Q109&gt;=0,Q109&lt;=Z109),Q109/Z109,"")</x:f>
      </x:c>
      <x:c r="AD109" s="13" t="str">
        <x:f>IF(AE109&lt;&gt;"纳入","",IF(AND(O109="完成",AC109=1,R109=0,S109="通过",T109="通过",AA109&lt;=AH109),1,0))</x:f>
      </x:c>
      <x:c r="AE109" s="13" t="str">
        <x:f>IF(O109="","待运行",IF(O109="进行中","进行中",IF(NOT(OR(O109="完成",O109="超时",O109="工具故障",O109="主动终止")),"需核对终态",IF(OR('试点设置'!$C$15&lt;&gt;"齐备",INDEX('特性清单'!$P$7:$P$18,MATCH(C109,'特性清单'!$A$7:$A$18,0))&lt;&gt;"齐备",D109&gt;INDEX('特性清单'!$K$7:$K$18,MATCH(C109,'特性清单'!$A$7:$A$18,0))),"待补齐试验设置",IF(NOT(AND(F109&lt;&gt;"",COUNT(G109:N109)=8,COUNT(P109:R109)=3,S109&lt;&gt;"",T109&lt;&gt;"",V109&lt;&gt;"",X109&lt;&gt;"",Y109&lt;&gt;"",AI109&lt;&gt;"")),"待补齐记录",IF(NOT(AND(G109&gt;=1,G109&lt;=4,MOD(G109,1)=0,I109&gt;=H109,MIN(J109:N109)&gt;=0,MOD(M109,1)=0,MOD(N109,1)=0,AA109&gt;=0,K109&lt;=AA109,L109&lt;=K109,MIN(P109:R109)&gt;=0,MOD(P109,1)=0,MOD(Q109,1)=0,MOD(R109,1)=0,P109&lt;=Z109,Q109&lt;=Z109,OR(S109="通过",S109="失败",S109="未完成"),OR(T109="通过",T109="失败",T109="未完成"),OR(AI109="新手",AI109="偶尔使用",AI109="经常使用"),COUNTIFS($A$7:$A$150,A109)=1)),"需核对数值或ID",IF(OR(AND(O109&lt;&gt;"完成",W109=""),AND(J109&gt;0,W109=""),AND(V109&lt;&gt;"一致",W109="")),"待说明原因",IF(V109&lt;&gt;"一致","条件偏差","纳入"))))))))</x:f>
        <x:v>待运行</x:v>
      </x:c>
      <x:c r="AF109" s="13" t="n">
        <x:f>IF(AE109&lt;&gt;"纳入",0,INDEX('配对比较'!$J$7:$J$42,MATCH(B109,'配对比较'!$A$7:$A$42,0)))</x:f>
        <x:v>0</x:v>
      </x:c>
      <x:c r="AG109" s="13" t="n">
        <x:f>IF(AE109&lt;&gt;"纳入",0,INDEX('配对比较'!$L$7:$L$42,MATCH(B109,'配对比较'!$A$7:$A$42,0)))</x:f>
        <x:v>0</x:v>
      </x:c>
      <x:c r="AH109" s="13" t="str">
        <x:f>IF(INDEX('特性清单'!$B$7:$B$18,MATCH(C109,'特性清单'!$A$7:$A$18,0))="","",IF(INDEX('特性清单'!$J$7:$J$18,MATCH(C109,'特性清单'!$A$7:$A$18,0))="","",INDEX('特性清单'!$J$7:$J$18,MATCH(C109,'特性清单'!$A$7:$A$18,0))))</x:f>
      </x:c>
      <x:c r="AI109" s="10"/>
      <x:c r="AJ109" s="13" t="n">
        <x:f>IF(AND(ISNUMBER(U109),U109&gt;=0),1,0)</x:f>
        <x:v>0</x:v>
      </x:c>
      <x:c r="AK109" s="13" t="str">
        <x:f>IF(AE109&lt;&gt;"纳入","",IF(OR(O109="超时",AA109&gt;AH109),1,0))</x:f>
      </x:c>
    </x:row>
    <x:row r="110" ht="25" customHeight="1">
      <x:c r="A110" s="13" t="str">
        <x:v>F09-R2-CA</x:v>
      </x:c>
      <x:c r="B110" s="13" t="str">
        <x:v>F09-R2</x:v>
      </x:c>
      <x:c r="C110" s="13" t="str">
        <x:v>F09</x:v>
      </x:c>
      <x:c r="D110" s="58" t="n">
        <x:v>2</x:v>
      </x:c>
      <x:c r="E110" s="13" t="str">
        <x:v>CodeArts</x:v>
      </x:c>
      <x:c r="F110" s="10"/>
      <x:c r="G110" s="56"/>
      <x:c r="H110" s="45"/>
      <x:c r="I110" s="45"/>
      <x:c r="J110" s="48"/>
      <x:c r="K110" s="48"/>
      <x:c r="L110" s="48"/>
      <x:c r="M110" s="56"/>
      <x:c r="N110" s="56"/>
      <x:c r="O110" s="10"/>
      <x:c r="P110" s="56"/>
      <x:c r="Q110" s="56"/>
      <x:c r="R110" s="56"/>
      <x:c r="S110" s="10"/>
      <x:c r="T110" s="10"/>
      <x:c r="U110" s="53"/>
      <x:c r="V110" s="10"/>
      <x:c r="W110" s="10"/>
      <x:c r="X110" s="10"/>
      <x:c r="Y110" s="10"/>
      <x:c r="Z110" s="13" t="str">
        <x:f>IF(INDEX('特性清单'!$B$7:$B$18,MATCH(C110,'特性清单'!$A$7:$A$18,0))="","",IF(INDEX('特性清单'!$H$7:$H$18,MATCH(C110,'特性清单'!$A$7:$A$18,0))="","",INDEX('特性清单'!$H$7:$H$18,MATCH(C110,'特性清单'!$A$7:$A$18,0))))</x:f>
      </x:c>
      <x:c r="AA110" s="50" t="str">
        <x:f>IF(AND(COUNT(H110:J110)=3,I110&gt;=H110,J110&gt;=0),ROUND((I110-H110)*1440-J110,2),"")</x:f>
      </x:c>
      <x:c r="AB110" s="51" t="str">
        <x:f>IF(AND(ISNUMBER(P110),ISNUMBER(Z110),Z110&gt;0,P110&gt;=0,P110&lt;=Z110),P110/Z110,"")</x:f>
      </x:c>
      <x:c r="AC110" s="51" t="str">
        <x:f>IF(AND(ISNUMBER(Q110),ISNUMBER(Z110),Z110&gt;0,Q110&gt;=0,Q110&lt;=Z110),Q110/Z110,"")</x:f>
      </x:c>
      <x:c r="AD110" s="13" t="str">
        <x:f>IF(AE110&lt;&gt;"纳入","",IF(AND(O110="完成",AC110=1,R110=0,S110="通过",T110="通过",AA110&lt;=AH110),1,0))</x:f>
      </x:c>
      <x:c r="AE110" s="13" t="str">
        <x:f>IF(O110="","待运行",IF(O110="进行中","进行中",IF(NOT(OR(O110="完成",O110="超时",O110="工具故障",O110="主动终止")),"需核对终态",IF(OR('试点设置'!$C$15&lt;&gt;"齐备",INDEX('特性清单'!$P$7:$P$18,MATCH(C110,'特性清单'!$A$7:$A$18,0))&lt;&gt;"齐备",D110&gt;INDEX('特性清单'!$K$7:$K$18,MATCH(C110,'特性清单'!$A$7:$A$18,0))),"待补齐试验设置",IF(NOT(AND(F110&lt;&gt;"",COUNT(G110:N110)=8,COUNT(P110:R110)=3,S110&lt;&gt;"",T110&lt;&gt;"",V110&lt;&gt;"",X110&lt;&gt;"",Y110&lt;&gt;"",AI110&lt;&gt;"")),"待补齐记录",IF(NOT(AND(G110&gt;=1,G110&lt;=4,MOD(G110,1)=0,I110&gt;=H110,MIN(J110:N110)&gt;=0,MOD(M110,1)=0,MOD(N110,1)=0,AA110&gt;=0,K110&lt;=AA110,L110&lt;=K110,MIN(P110:R110)&gt;=0,MOD(P110,1)=0,MOD(Q110,1)=0,MOD(R110,1)=0,P110&lt;=Z110,Q110&lt;=Z110,OR(S110="通过",S110="失败",S110="未完成"),OR(T110="通过",T110="失败",T110="未完成"),OR(AI110="新手",AI110="偶尔使用",AI110="经常使用"),COUNTIFS($A$7:$A$150,A110)=1)),"需核对数值或ID",IF(OR(AND(O110&lt;&gt;"完成",W110=""),AND(J110&gt;0,W110=""),AND(V110&lt;&gt;"一致",W110="")),"待说明原因",IF(V110&lt;&gt;"一致","条件偏差","纳入"))))))))</x:f>
        <x:v>待运行</x:v>
      </x:c>
      <x:c r="AF110" s="13" t="n">
        <x:f>IF(AE110&lt;&gt;"纳入",0,INDEX('配对比较'!$J$7:$J$42,MATCH(B110,'配对比较'!$A$7:$A$42,0)))</x:f>
        <x:v>0</x:v>
      </x:c>
      <x:c r="AG110" s="13" t="n">
        <x:f>IF(AE110&lt;&gt;"纳入",0,INDEX('配对比较'!$L$7:$L$42,MATCH(B110,'配对比较'!$A$7:$A$42,0)))</x:f>
        <x:v>0</x:v>
      </x:c>
      <x:c r="AH110" s="13" t="str">
        <x:f>IF(INDEX('特性清单'!$B$7:$B$18,MATCH(C110,'特性清单'!$A$7:$A$18,0))="","",IF(INDEX('特性清单'!$J$7:$J$18,MATCH(C110,'特性清单'!$A$7:$A$18,0))="","",INDEX('特性清单'!$J$7:$J$18,MATCH(C110,'特性清单'!$A$7:$A$18,0))))</x:f>
      </x:c>
      <x:c r="AI110" s="10"/>
      <x:c r="AJ110" s="13" t="n">
        <x:f>IF(AND(ISNUMBER(U110),U110&gt;=0),1,0)</x:f>
        <x:v>0</x:v>
      </x:c>
      <x:c r="AK110" s="13" t="str">
        <x:f>IF(AE110&lt;&gt;"纳入","",IF(OR(O110="超时",AA110&gt;AH110),1,0))</x:f>
      </x:c>
    </x:row>
    <x:row r="111" ht="25" customHeight="1">
      <x:c r="A111" s="13" t="str">
        <x:v>F09-R3-CC</x:v>
      </x:c>
      <x:c r="B111" s="13" t="str">
        <x:v>F09-R3</x:v>
      </x:c>
      <x:c r="C111" s="13" t="str">
        <x:v>F09</x:v>
      </x:c>
      <x:c r="D111" s="58" t="n">
        <x:v>3</x:v>
      </x:c>
      <x:c r="E111" s="13" t="str">
        <x:v>Claude Code</x:v>
      </x:c>
      <x:c r="F111" s="10"/>
      <x:c r="G111" s="56"/>
      <x:c r="H111" s="45"/>
      <x:c r="I111" s="45"/>
      <x:c r="J111" s="48"/>
      <x:c r="K111" s="48"/>
      <x:c r="L111" s="48"/>
      <x:c r="M111" s="56"/>
      <x:c r="N111" s="56"/>
      <x:c r="O111" s="10"/>
      <x:c r="P111" s="56"/>
      <x:c r="Q111" s="56"/>
      <x:c r="R111" s="56"/>
      <x:c r="S111" s="10"/>
      <x:c r="T111" s="10"/>
      <x:c r="U111" s="53"/>
      <x:c r="V111" s="10"/>
      <x:c r="W111" s="10"/>
      <x:c r="X111" s="10"/>
      <x:c r="Y111" s="10"/>
      <x:c r="Z111" s="13" t="str">
        <x:f>IF(INDEX('特性清单'!$B$7:$B$18,MATCH(C111,'特性清单'!$A$7:$A$18,0))="","",IF(INDEX('特性清单'!$H$7:$H$18,MATCH(C111,'特性清单'!$A$7:$A$18,0))="","",INDEX('特性清单'!$H$7:$H$18,MATCH(C111,'特性清单'!$A$7:$A$18,0))))</x:f>
      </x:c>
      <x:c r="AA111" s="50" t="str">
        <x:f>IF(AND(COUNT(H111:J111)=3,I111&gt;=H111,J111&gt;=0),ROUND((I111-H111)*1440-J111,2),"")</x:f>
      </x:c>
      <x:c r="AB111" s="51" t="str">
        <x:f>IF(AND(ISNUMBER(P111),ISNUMBER(Z111),Z111&gt;0,P111&gt;=0,P111&lt;=Z111),P111/Z111,"")</x:f>
      </x:c>
      <x:c r="AC111" s="51" t="str">
        <x:f>IF(AND(ISNUMBER(Q111),ISNUMBER(Z111),Z111&gt;0,Q111&gt;=0,Q111&lt;=Z111),Q111/Z111,"")</x:f>
      </x:c>
      <x:c r="AD111" s="13" t="str">
        <x:f>IF(AE111&lt;&gt;"纳入","",IF(AND(O111="完成",AC111=1,R111=0,S111="通过",T111="通过",AA111&lt;=AH111),1,0))</x:f>
      </x:c>
      <x:c r="AE111" s="13" t="str">
        <x:f>IF(O111="","待运行",IF(O111="进行中","进行中",IF(NOT(OR(O111="完成",O111="超时",O111="工具故障",O111="主动终止")),"需核对终态",IF(OR('试点设置'!$C$15&lt;&gt;"齐备",INDEX('特性清单'!$P$7:$P$18,MATCH(C111,'特性清单'!$A$7:$A$18,0))&lt;&gt;"齐备",D111&gt;INDEX('特性清单'!$K$7:$K$18,MATCH(C111,'特性清单'!$A$7:$A$18,0))),"待补齐试验设置",IF(NOT(AND(F111&lt;&gt;"",COUNT(G111:N111)=8,COUNT(P111:R111)=3,S111&lt;&gt;"",T111&lt;&gt;"",V111&lt;&gt;"",X111&lt;&gt;"",Y111&lt;&gt;"",AI111&lt;&gt;"")),"待补齐记录",IF(NOT(AND(G111&gt;=1,G111&lt;=4,MOD(G111,1)=0,I111&gt;=H111,MIN(J111:N111)&gt;=0,MOD(M111,1)=0,MOD(N111,1)=0,AA111&gt;=0,K111&lt;=AA111,L111&lt;=K111,MIN(P111:R111)&gt;=0,MOD(P111,1)=0,MOD(Q111,1)=0,MOD(R111,1)=0,P111&lt;=Z111,Q111&lt;=Z111,OR(S111="通过",S111="失败",S111="未完成"),OR(T111="通过",T111="失败",T111="未完成"),OR(AI111="新手",AI111="偶尔使用",AI111="经常使用"),COUNTIFS($A$7:$A$150,A111)=1)),"需核对数值或ID",IF(OR(AND(O111&lt;&gt;"完成",W111=""),AND(J111&gt;0,W111=""),AND(V111&lt;&gt;"一致",W111="")),"待说明原因",IF(V111&lt;&gt;"一致","条件偏差","纳入"))))))))</x:f>
        <x:v>待运行</x:v>
      </x:c>
      <x:c r="AF111" s="13" t="n">
        <x:f>IF(AE111&lt;&gt;"纳入",0,INDEX('配对比较'!$J$7:$J$42,MATCH(B111,'配对比较'!$A$7:$A$42,0)))</x:f>
        <x:v>0</x:v>
      </x:c>
      <x:c r="AG111" s="13" t="n">
        <x:f>IF(AE111&lt;&gt;"纳入",0,INDEX('配对比较'!$L$7:$L$42,MATCH(B111,'配对比较'!$A$7:$A$42,0)))</x:f>
        <x:v>0</x:v>
      </x:c>
      <x:c r="AH111" s="13" t="str">
        <x:f>IF(INDEX('特性清单'!$B$7:$B$18,MATCH(C111,'特性清单'!$A$7:$A$18,0))="","",IF(INDEX('特性清单'!$J$7:$J$18,MATCH(C111,'特性清单'!$A$7:$A$18,0))="","",INDEX('特性清单'!$J$7:$J$18,MATCH(C111,'特性清单'!$A$7:$A$18,0))))</x:f>
      </x:c>
      <x:c r="AI111" s="10"/>
      <x:c r="AJ111" s="13" t="n">
        <x:f>IF(AND(ISNUMBER(U111),U111&gt;=0),1,0)</x:f>
        <x:v>0</x:v>
      </x:c>
      <x:c r="AK111" s="13" t="str">
        <x:f>IF(AE111&lt;&gt;"纳入","",IF(OR(O111="超时",AA111&gt;AH111),1,0))</x:f>
      </x:c>
    </x:row>
    <x:row r="112" ht="25" customHeight="1">
      <x:c r="A112" s="13" t="str">
        <x:v>F09-R3-CX</x:v>
      </x:c>
      <x:c r="B112" s="13" t="str">
        <x:v>F09-R3</x:v>
      </x:c>
      <x:c r="C112" s="13" t="str">
        <x:v>F09</x:v>
      </x:c>
      <x:c r="D112" s="58" t="n">
        <x:v>3</x:v>
      </x:c>
      <x:c r="E112" s="13" t="str">
        <x:v>Codex</x:v>
      </x:c>
      <x:c r="F112" s="10"/>
      <x:c r="G112" s="56"/>
      <x:c r="H112" s="45"/>
      <x:c r="I112" s="45"/>
      <x:c r="J112" s="48"/>
      <x:c r="K112" s="48"/>
      <x:c r="L112" s="48"/>
      <x:c r="M112" s="56"/>
      <x:c r="N112" s="56"/>
      <x:c r="O112" s="10"/>
      <x:c r="P112" s="56"/>
      <x:c r="Q112" s="56"/>
      <x:c r="R112" s="56"/>
      <x:c r="S112" s="10"/>
      <x:c r="T112" s="10"/>
      <x:c r="U112" s="53"/>
      <x:c r="V112" s="10"/>
      <x:c r="W112" s="10"/>
      <x:c r="X112" s="10"/>
      <x:c r="Y112" s="10"/>
      <x:c r="Z112" s="13" t="str">
        <x:f>IF(INDEX('特性清单'!$B$7:$B$18,MATCH(C112,'特性清单'!$A$7:$A$18,0))="","",IF(INDEX('特性清单'!$H$7:$H$18,MATCH(C112,'特性清单'!$A$7:$A$18,0))="","",INDEX('特性清单'!$H$7:$H$18,MATCH(C112,'特性清单'!$A$7:$A$18,0))))</x:f>
      </x:c>
      <x:c r="AA112" s="50" t="str">
        <x:f>IF(AND(COUNT(H112:J112)=3,I112&gt;=H112,J112&gt;=0),ROUND((I112-H112)*1440-J112,2),"")</x:f>
      </x:c>
      <x:c r="AB112" s="51" t="str">
        <x:f>IF(AND(ISNUMBER(P112),ISNUMBER(Z112),Z112&gt;0,P112&gt;=0,P112&lt;=Z112),P112/Z112,"")</x:f>
      </x:c>
      <x:c r="AC112" s="51" t="str">
        <x:f>IF(AND(ISNUMBER(Q112),ISNUMBER(Z112),Z112&gt;0,Q112&gt;=0,Q112&lt;=Z112),Q112/Z112,"")</x:f>
      </x:c>
      <x:c r="AD112" s="13" t="str">
        <x:f>IF(AE112&lt;&gt;"纳入","",IF(AND(O112="完成",AC112=1,R112=0,S112="通过",T112="通过",AA112&lt;=AH112),1,0))</x:f>
      </x:c>
      <x:c r="AE112" s="13" t="str">
        <x:f>IF(O112="","待运行",IF(O112="进行中","进行中",IF(NOT(OR(O112="完成",O112="超时",O112="工具故障",O112="主动终止")),"需核对终态",IF(OR('试点设置'!$C$15&lt;&gt;"齐备",INDEX('特性清单'!$P$7:$P$18,MATCH(C112,'特性清单'!$A$7:$A$18,0))&lt;&gt;"齐备",D112&gt;INDEX('特性清单'!$K$7:$K$18,MATCH(C112,'特性清单'!$A$7:$A$18,0))),"待补齐试验设置",IF(NOT(AND(F112&lt;&gt;"",COUNT(G112:N112)=8,COUNT(P112:R112)=3,S112&lt;&gt;"",T112&lt;&gt;"",V112&lt;&gt;"",X112&lt;&gt;"",Y112&lt;&gt;"",AI112&lt;&gt;"")),"待补齐记录",IF(NOT(AND(G112&gt;=1,G112&lt;=4,MOD(G112,1)=0,I112&gt;=H112,MIN(J112:N112)&gt;=0,MOD(M112,1)=0,MOD(N112,1)=0,AA112&gt;=0,K112&lt;=AA112,L112&lt;=K112,MIN(P112:R112)&gt;=0,MOD(P112,1)=0,MOD(Q112,1)=0,MOD(R112,1)=0,P112&lt;=Z112,Q112&lt;=Z112,OR(S112="通过",S112="失败",S112="未完成"),OR(T112="通过",T112="失败",T112="未完成"),OR(AI112="新手",AI112="偶尔使用",AI112="经常使用"),COUNTIFS($A$7:$A$150,A112)=1)),"需核对数值或ID",IF(OR(AND(O112&lt;&gt;"完成",W112=""),AND(J112&gt;0,W112=""),AND(V112&lt;&gt;"一致",W112="")),"待说明原因",IF(V112&lt;&gt;"一致","条件偏差","纳入"))))))))</x:f>
        <x:v>待运行</x:v>
      </x:c>
      <x:c r="AF112" s="13" t="n">
        <x:f>IF(AE112&lt;&gt;"纳入",0,INDEX('配对比较'!$J$7:$J$42,MATCH(B112,'配对比较'!$A$7:$A$42,0)))</x:f>
        <x:v>0</x:v>
      </x:c>
      <x:c r="AG112" s="13" t="n">
        <x:f>IF(AE112&lt;&gt;"纳入",0,INDEX('配对比较'!$L$7:$L$42,MATCH(B112,'配对比较'!$A$7:$A$42,0)))</x:f>
        <x:v>0</x:v>
      </x:c>
      <x:c r="AH112" s="13" t="str">
        <x:f>IF(INDEX('特性清单'!$B$7:$B$18,MATCH(C112,'特性清单'!$A$7:$A$18,0))="","",IF(INDEX('特性清单'!$J$7:$J$18,MATCH(C112,'特性清单'!$A$7:$A$18,0))="","",INDEX('特性清单'!$J$7:$J$18,MATCH(C112,'特性清单'!$A$7:$A$18,0))))</x:f>
      </x:c>
      <x:c r="AI112" s="10"/>
      <x:c r="AJ112" s="13" t="n">
        <x:f>IF(AND(ISNUMBER(U112),U112&gt;=0),1,0)</x:f>
        <x:v>0</x:v>
      </x:c>
      <x:c r="AK112" s="13" t="str">
        <x:f>IF(AE112&lt;&gt;"纳入","",IF(OR(O112="超时",AA112&gt;AH112),1,0))</x:f>
      </x:c>
    </x:row>
    <x:row r="113" ht="25" customHeight="1">
      <x:c r="A113" s="13" t="str">
        <x:v>F09-R3-TR</x:v>
      </x:c>
      <x:c r="B113" s="13" t="str">
        <x:v>F09-R3</x:v>
      </x:c>
      <x:c r="C113" s="13" t="str">
        <x:v>F09</x:v>
      </x:c>
      <x:c r="D113" s="58" t="n">
        <x:v>3</x:v>
      </x:c>
      <x:c r="E113" s="13" t="str">
        <x:v>Trae</x:v>
      </x:c>
      <x:c r="F113" s="10"/>
      <x:c r="G113" s="56"/>
      <x:c r="H113" s="45"/>
      <x:c r="I113" s="45"/>
      <x:c r="J113" s="48"/>
      <x:c r="K113" s="48"/>
      <x:c r="L113" s="48"/>
      <x:c r="M113" s="56"/>
      <x:c r="N113" s="56"/>
      <x:c r="O113" s="10"/>
      <x:c r="P113" s="56"/>
      <x:c r="Q113" s="56"/>
      <x:c r="R113" s="56"/>
      <x:c r="S113" s="10"/>
      <x:c r="T113" s="10"/>
      <x:c r="U113" s="53"/>
      <x:c r="V113" s="10"/>
      <x:c r="W113" s="10"/>
      <x:c r="X113" s="10"/>
      <x:c r="Y113" s="10"/>
      <x:c r="Z113" s="13" t="str">
        <x:f>IF(INDEX('特性清单'!$B$7:$B$18,MATCH(C113,'特性清单'!$A$7:$A$18,0))="","",IF(INDEX('特性清单'!$H$7:$H$18,MATCH(C113,'特性清单'!$A$7:$A$18,0))="","",INDEX('特性清单'!$H$7:$H$18,MATCH(C113,'特性清单'!$A$7:$A$18,0))))</x:f>
      </x:c>
      <x:c r="AA113" s="50" t="str">
        <x:f>IF(AND(COUNT(H113:J113)=3,I113&gt;=H113,J113&gt;=0),ROUND((I113-H113)*1440-J113,2),"")</x:f>
      </x:c>
      <x:c r="AB113" s="51" t="str">
        <x:f>IF(AND(ISNUMBER(P113),ISNUMBER(Z113),Z113&gt;0,P113&gt;=0,P113&lt;=Z113),P113/Z113,"")</x:f>
      </x:c>
      <x:c r="AC113" s="51" t="str">
        <x:f>IF(AND(ISNUMBER(Q113),ISNUMBER(Z113),Z113&gt;0,Q113&gt;=0,Q113&lt;=Z113),Q113/Z113,"")</x:f>
      </x:c>
      <x:c r="AD113" s="13" t="str">
        <x:f>IF(AE113&lt;&gt;"纳入","",IF(AND(O113="完成",AC113=1,R113=0,S113="通过",T113="通过",AA113&lt;=AH113),1,0))</x:f>
      </x:c>
      <x:c r="AE113" s="13" t="str">
        <x:f>IF(O113="","待运行",IF(O113="进行中","进行中",IF(NOT(OR(O113="完成",O113="超时",O113="工具故障",O113="主动终止")),"需核对终态",IF(OR('试点设置'!$C$15&lt;&gt;"齐备",INDEX('特性清单'!$P$7:$P$18,MATCH(C113,'特性清单'!$A$7:$A$18,0))&lt;&gt;"齐备",D113&gt;INDEX('特性清单'!$K$7:$K$18,MATCH(C113,'特性清单'!$A$7:$A$18,0))),"待补齐试验设置",IF(NOT(AND(F113&lt;&gt;"",COUNT(G113:N113)=8,COUNT(P113:R113)=3,S113&lt;&gt;"",T113&lt;&gt;"",V113&lt;&gt;"",X113&lt;&gt;"",Y113&lt;&gt;"",AI113&lt;&gt;"")),"待补齐记录",IF(NOT(AND(G113&gt;=1,G113&lt;=4,MOD(G113,1)=0,I113&gt;=H113,MIN(J113:N113)&gt;=0,MOD(M113,1)=0,MOD(N113,1)=0,AA113&gt;=0,K113&lt;=AA113,L113&lt;=K113,MIN(P113:R113)&gt;=0,MOD(P113,1)=0,MOD(Q113,1)=0,MOD(R113,1)=0,P113&lt;=Z113,Q113&lt;=Z113,OR(S113="通过",S113="失败",S113="未完成"),OR(T113="通过",T113="失败",T113="未完成"),OR(AI113="新手",AI113="偶尔使用",AI113="经常使用"),COUNTIFS($A$7:$A$150,A113)=1)),"需核对数值或ID",IF(OR(AND(O113&lt;&gt;"完成",W113=""),AND(J113&gt;0,W113=""),AND(V113&lt;&gt;"一致",W113="")),"待说明原因",IF(V113&lt;&gt;"一致","条件偏差","纳入"))))))))</x:f>
        <x:v>待运行</x:v>
      </x:c>
      <x:c r="AF113" s="13" t="n">
        <x:f>IF(AE113&lt;&gt;"纳入",0,INDEX('配对比较'!$J$7:$J$42,MATCH(B113,'配对比较'!$A$7:$A$42,0)))</x:f>
        <x:v>0</x:v>
      </x:c>
      <x:c r="AG113" s="13" t="n">
        <x:f>IF(AE113&lt;&gt;"纳入",0,INDEX('配对比较'!$L$7:$L$42,MATCH(B113,'配对比较'!$A$7:$A$42,0)))</x:f>
        <x:v>0</x:v>
      </x:c>
      <x:c r="AH113" s="13" t="str">
        <x:f>IF(INDEX('特性清单'!$B$7:$B$18,MATCH(C113,'特性清单'!$A$7:$A$18,0))="","",IF(INDEX('特性清单'!$J$7:$J$18,MATCH(C113,'特性清单'!$A$7:$A$18,0))="","",INDEX('特性清单'!$J$7:$J$18,MATCH(C113,'特性清单'!$A$7:$A$18,0))))</x:f>
      </x:c>
      <x:c r="AI113" s="10"/>
      <x:c r="AJ113" s="13" t="n">
        <x:f>IF(AND(ISNUMBER(U113),U113&gt;=0),1,0)</x:f>
        <x:v>0</x:v>
      </x:c>
      <x:c r="AK113" s="13" t="str">
        <x:f>IF(AE113&lt;&gt;"纳入","",IF(OR(O113="超时",AA113&gt;AH113),1,0))</x:f>
      </x:c>
    </x:row>
    <x:row r="114" ht="25" customHeight="1">
      <x:c r="A114" s="13" t="str">
        <x:v>F09-R3-CA</x:v>
      </x:c>
      <x:c r="B114" s="13" t="str">
        <x:v>F09-R3</x:v>
      </x:c>
      <x:c r="C114" s="13" t="str">
        <x:v>F09</x:v>
      </x:c>
      <x:c r="D114" s="58" t="n">
        <x:v>3</x:v>
      </x:c>
      <x:c r="E114" s="13" t="str">
        <x:v>CodeArts</x:v>
      </x:c>
      <x:c r="F114" s="10"/>
      <x:c r="G114" s="56"/>
      <x:c r="H114" s="45"/>
      <x:c r="I114" s="45"/>
      <x:c r="J114" s="48"/>
      <x:c r="K114" s="48"/>
      <x:c r="L114" s="48"/>
      <x:c r="M114" s="56"/>
      <x:c r="N114" s="56"/>
      <x:c r="O114" s="10"/>
      <x:c r="P114" s="56"/>
      <x:c r="Q114" s="56"/>
      <x:c r="R114" s="56"/>
      <x:c r="S114" s="10"/>
      <x:c r="T114" s="10"/>
      <x:c r="U114" s="53"/>
      <x:c r="V114" s="10"/>
      <x:c r="W114" s="10"/>
      <x:c r="X114" s="10"/>
      <x:c r="Y114" s="10"/>
      <x:c r="Z114" s="13" t="str">
        <x:f>IF(INDEX('特性清单'!$B$7:$B$18,MATCH(C114,'特性清单'!$A$7:$A$18,0))="","",IF(INDEX('特性清单'!$H$7:$H$18,MATCH(C114,'特性清单'!$A$7:$A$18,0))="","",INDEX('特性清单'!$H$7:$H$18,MATCH(C114,'特性清单'!$A$7:$A$18,0))))</x:f>
      </x:c>
      <x:c r="AA114" s="50" t="str">
        <x:f>IF(AND(COUNT(H114:J114)=3,I114&gt;=H114,J114&gt;=0),ROUND((I114-H114)*1440-J114,2),"")</x:f>
      </x:c>
      <x:c r="AB114" s="51" t="str">
        <x:f>IF(AND(ISNUMBER(P114),ISNUMBER(Z114),Z114&gt;0,P114&gt;=0,P114&lt;=Z114),P114/Z114,"")</x:f>
      </x:c>
      <x:c r="AC114" s="51" t="str">
        <x:f>IF(AND(ISNUMBER(Q114),ISNUMBER(Z114),Z114&gt;0,Q114&gt;=0,Q114&lt;=Z114),Q114/Z114,"")</x:f>
      </x:c>
      <x:c r="AD114" s="13" t="str">
        <x:f>IF(AE114&lt;&gt;"纳入","",IF(AND(O114="完成",AC114=1,R114=0,S114="通过",T114="通过",AA114&lt;=AH114),1,0))</x:f>
      </x:c>
      <x:c r="AE114" s="13" t="str">
        <x:f>IF(O114="","待运行",IF(O114="进行中","进行中",IF(NOT(OR(O114="完成",O114="超时",O114="工具故障",O114="主动终止")),"需核对终态",IF(OR('试点设置'!$C$15&lt;&gt;"齐备",INDEX('特性清单'!$P$7:$P$18,MATCH(C114,'特性清单'!$A$7:$A$18,0))&lt;&gt;"齐备",D114&gt;INDEX('特性清单'!$K$7:$K$18,MATCH(C114,'特性清单'!$A$7:$A$18,0))),"待补齐试验设置",IF(NOT(AND(F114&lt;&gt;"",COUNT(G114:N114)=8,COUNT(P114:R114)=3,S114&lt;&gt;"",T114&lt;&gt;"",V114&lt;&gt;"",X114&lt;&gt;"",Y114&lt;&gt;"",AI114&lt;&gt;"")),"待补齐记录",IF(NOT(AND(G114&gt;=1,G114&lt;=4,MOD(G114,1)=0,I114&gt;=H114,MIN(J114:N114)&gt;=0,MOD(M114,1)=0,MOD(N114,1)=0,AA114&gt;=0,K114&lt;=AA114,L114&lt;=K114,MIN(P114:R114)&gt;=0,MOD(P114,1)=0,MOD(Q114,1)=0,MOD(R114,1)=0,P114&lt;=Z114,Q114&lt;=Z114,OR(S114="通过",S114="失败",S114="未完成"),OR(T114="通过",T114="失败",T114="未完成"),OR(AI114="新手",AI114="偶尔使用",AI114="经常使用"),COUNTIFS($A$7:$A$150,A114)=1)),"需核对数值或ID",IF(OR(AND(O114&lt;&gt;"完成",W114=""),AND(J114&gt;0,W114=""),AND(V114&lt;&gt;"一致",W114="")),"待说明原因",IF(V114&lt;&gt;"一致","条件偏差","纳入"))))))))</x:f>
        <x:v>待运行</x:v>
      </x:c>
      <x:c r="AF114" s="13" t="n">
        <x:f>IF(AE114&lt;&gt;"纳入",0,INDEX('配对比较'!$J$7:$J$42,MATCH(B114,'配对比较'!$A$7:$A$42,0)))</x:f>
        <x:v>0</x:v>
      </x:c>
      <x:c r="AG114" s="13" t="n">
        <x:f>IF(AE114&lt;&gt;"纳入",0,INDEX('配对比较'!$L$7:$L$42,MATCH(B114,'配对比较'!$A$7:$A$42,0)))</x:f>
        <x:v>0</x:v>
      </x:c>
      <x:c r="AH114" s="13" t="str">
        <x:f>IF(INDEX('特性清单'!$B$7:$B$18,MATCH(C114,'特性清单'!$A$7:$A$18,0))="","",IF(INDEX('特性清单'!$J$7:$J$18,MATCH(C114,'特性清单'!$A$7:$A$18,0))="","",INDEX('特性清单'!$J$7:$J$18,MATCH(C114,'特性清单'!$A$7:$A$18,0))))</x:f>
      </x:c>
      <x:c r="AI114" s="10"/>
      <x:c r="AJ114" s="13" t="n">
        <x:f>IF(AND(ISNUMBER(U114),U114&gt;=0),1,0)</x:f>
        <x:v>0</x:v>
      </x:c>
      <x:c r="AK114" s="13" t="str">
        <x:f>IF(AE114&lt;&gt;"纳入","",IF(OR(O114="超时",AA114&gt;AH114),1,0))</x:f>
      </x:c>
    </x:row>
    <x:row r="115" ht="25" customHeight="1">
      <x:c r="A115" s="13" t="str">
        <x:v>F10-R1-CC</x:v>
      </x:c>
      <x:c r="B115" s="13" t="str">
        <x:v>F10-R1</x:v>
      </x:c>
      <x:c r="C115" s="13" t="str">
        <x:v>F10</x:v>
      </x:c>
      <x:c r="D115" s="58" t="n">
        <x:v>1</x:v>
      </x:c>
      <x:c r="E115" s="13" t="str">
        <x:v>Claude Code</x:v>
      </x:c>
      <x:c r="F115" s="10"/>
      <x:c r="G115" s="56"/>
      <x:c r="H115" s="45"/>
      <x:c r="I115" s="45"/>
      <x:c r="J115" s="48"/>
      <x:c r="K115" s="48"/>
      <x:c r="L115" s="48"/>
      <x:c r="M115" s="56"/>
      <x:c r="N115" s="56"/>
      <x:c r="O115" s="10"/>
      <x:c r="P115" s="56"/>
      <x:c r="Q115" s="56"/>
      <x:c r="R115" s="56"/>
      <x:c r="S115" s="10"/>
      <x:c r="T115" s="10"/>
      <x:c r="U115" s="53"/>
      <x:c r="V115" s="10"/>
      <x:c r="W115" s="10"/>
      <x:c r="X115" s="10"/>
      <x:c r="Y115" s="10"/>
      <x:c r="Z115" s="13" t="str">
        <x:f>IF(INDEX('特性清单'!$B$7:$B$18,MATCH(C115,'特性清单'!$A$7:$A$18,0))="","",IF(INDEX('特性清单'!$H$7:$H$18,MATCH(C115,'特性清单'!$A$7:$A$18,0))="","",INDEX('特性清单'!$H$7:$H$18,MATCH(C115,'特性清单'!$A$7:$A$18,0))))</x:f>
      </x:c>
      <x:c r="AA115" s="50" t="str">
        <x:f>IF(AND(COUNT(H115:J115)=3,I115&gt;=H115,J115&gt;=0),ROUND((I115-H115)*1440-J115,2),"")</x:f>
      </x:c>
      <x:c r="AB115" s="51" t="str">
        <x:f>IF(AND(ISNUMBER(P115),ISNUMBER(Z115),Z115&gt;0,P115&gt;=0,P115&lt;=Z115),P115/Z115,"")</x:f>
      </x:c>
      <x:c r="AC115" s="51" t="str">
        <x:f>IF(AND(ISNUMBER(Q115),ISNUMBER(Z115),Z115&gt;0,Q115&gt;=0,Q115&lt;=Z115),Q115/Z115,"")</x:f>
      </x:c>
      <x:c r="AD115" s="13" t="str">
        <x:f>IF(AE115&lt;&gt;"纳入","",IF(AND(O115="完成",AC115=1,R115=0,S115="通过",T115="通过",AA115&lt;=AH115),1,0))</x:f>
      </x:c>
      <x:c r="AE115" s="13" t="str">
        <x:f>IF(O115="","待运行",IF(O115="进行中","进行中",IF(NOT(OR(O115="完成",O115="超时",O115="工具故障",O115="主动终止")),"需核对终态",IF(OR('试点设置'!$C$15&lt;&gt;"齐备",INDEX('特性清单'!$P$7:$P$18,MATCH(C115,'特性清单'!$A$7:$A$18,0))&lt;&gt;"齐备",D115&gt;INDEX('特性清单'!$K$7:$K$18,MATCH(C115,'特性清单'!$A$7:$A$18,0))),"待补齐试验设置",IF(NOT(AND(F115&lt;&gt;"",COUNT(G115:N115)=8,COUNT(P115:R115)=3,S115&lt;&gt;"",T115&lt;&gt;"",V115&lt;&gt;"",X115&lt;&gt;"",Y115&lt;&gt;"",AI115&lt;&gt;"")),"待补齐记录",IF(NOT(AND(G115&gt;=1,G115&lt;=4,MOD(G115,1)=0,I115&gt;=H115,MIN(J115:N115)&gt;=0,MOD(M115,1)=0,MOD(N115,1)=0,AA115&gt;=0,K115&lt;=AA115,L115&lt;=K115,MIN(P115:R115)&gt;=0,MOD(P115,1)=0,MOD(Q115,1)=0,MOD(R115,1)=0,P115&lt;=Z115,Q115&lt;=Z115,OR(S115="通过",S115="失败",S115="未完成"),OR(T115="通过",T115="失败",T115="未完成"),OR(AI115="新手",AI115="偶尔使用",AI115="经常使用"),COUNTIFS($A$7:$A$150,A115)=1)),"需核对数值或ID",IF(OR(AND(O115&lt;&gt;"完成",W115=""),AND(J115&gt;0,W115=""),AND(V115&lt;&gt;"一致",W115="")),"待说明原因",IF(V115&lt;&gt;"一致","条件偏差","纳入"))))))))</x:f>
        <x:v>待运行</x:v>
      </x:c>
      <x:c r="AF115" s="13" t="n">
        <x:f>IF(AE115&lt;&gt;"纳入",0,INDEX('配对比较'!$J$7:$J$42,MATCH(B115,'配对比较'!$A$7:$A$42,0)))</x:f>
        <x:v>0</x:v>
      </x:c>
      <x:c r="AG115" s="13" t="n">
        <x:f>IF(AE115&lt;&gt;"纳入",0,INDEX('配对比较'!$L$7:$L$42,MATCH(B115,'配对比较'!$A$7:$A$42,0)))</x:f>
        <x:v>0</x:v>
      </x:c>
      <x:c r="AH115" s="13" t="str">
        <x:f>IF(INDEX('特性清单'!$B$7:$B$18,MATCH(C115,'特性清单'!$A$7:$A$18,0))="","",IF(INDEX('特性清单'!$J$7:$J$18,MATCH(C115,'特性清单'!$A$7:$A$18,0))="","",INDEX('特性清单'!$J$7:$J$18,MATCH(C115,'特性清单'!$A$7:$A$18,0))))</x:f>
      </x:c>
      <x:c r="AI115" s="10"/>
      <x:c r="AJ115" s="13" t="n">
        <x:f>IF(AND(ISNUMBER(U115),U115&gt;=0),1,0)</x:f>
        <x:v>0</x:v>
      </x:c>
      <x:c r="AK115" s="13" t="str">
        <x:f>IF(AE115&lt;&gt;"纳入","",IF(OR(O115="超时",AA115&gt;AH115),1,0))</x:f>
      </x:c>
    </x:row>
    <x:row r="116" ht="25" customHeight="1">
      <x:c r="A116" s="13" t="str">
        <x:v>F10-R1-CX</x:v>
      </x:c>
      <x:c r="B116" s="13" t="str">
        <x:v>F10-R1</x:v>
      </x:c>
      <x:c r="C116" s="13" t="str">
        <x:v>F10</x:v>
      </x:c>
      <x:c r="D116" s="58" t="n">
        <x:v>1</x:v>
      </x:c>
      <x:c r="E116" s="13" t="str">
        <x:v>Codex</x:v>
      </x:c>
      <x:c r="F116" s="10"/>
      <x:c r="G116" s="56"/>
      <x:c r="H116" s="45"/>
      <x:c r="I116" s="45"/>
      <x:c r="J116" s="48"/>
      <x:c r="K116" s="48"/>
      <x:c r="L116" s="48"/>
      <x:c r="M116" s="56"/>
      <x:c r="N116" s="56"/>
      <x:c r="O116" s="10"/>
      <x:c r="P116" s="56"/>
      <x:c r="Q116" s="56"/>
      <x:c r="R116" s="56"/>
      <x:c r="S116" s="10"/>
      <x:c r="T116" s="10"/>
      <x:c r="U116" s="53"/>
      <x:c r="V116" s="10"/>
      <x:c r="W116" s="10"/>
      <x:c r="X116" s="10"/>
      <x:c r="Y116" s="10"/>
      <x:c r="Z116" s="13" t="str">
        <x:f>IF(INDEX('特性清单'!$B$7:$B$18,MATCH(C116,'特性清单'!$A$7:$A$18,0))="","",IF(INDEX('特性清单'!$H$7:$H$18,MATCH(C116,'特性清单'!$A$7:$A$18,0))="","",INDEX('特性清单'!$H$7:$H$18,MATCH(C116,'特性清单'!$A$7:$A$18,0))))</x:f>
      </x:c>
      <x:c r="AA116" s="50" t="str">
        <x:f>IF(AND(COUNT(H116:J116)=3,I116&gt;=H116,J116&gt;=0),ROUND((I116-H116)*1440-J116,2),"")</x:f>
      </x:c>
      <x:c r="AB116" s="51" t="str">
        <x:f>IF(AND(ISNUMBER(P116),ISNUMBER(Z116),Z116&gt;0,P116&gt;=0,P116&lt;=Z116),P116/Z116,"")</x:f>
      </x:c>
      <x:c r="AC116" s="51" t="str">
        <x:f>IF(AND(ISNUMBER(Q116),ISNUMBER(Z116),Z116&gt;0,Q116&gt;=0,Q116&lt;=Z116),Q116/Z116,"")</x:f>
      </x:c>
      <x:c r="AD116" s="13" t="str">
        <x:f>IF(AE116&lt;&gt;"纳入","",IF(AND(O116="完成",AC116=1,R116=0,S116="通过",T116="通过",AA116&lt;=AH116),1,0))</x:f>
      </x:c>
      <x:c r="AE116" s="13" t="str">
        <x:f>IF(O116="","待运行",IF(O116="进行中","进行中",IF(NOT(OR(O116="完成",O116="超时",O116="工具故障",O116="主动终止")),"需核对终态",IF(OR('试点设置'!$C$15&lt;&gt;"齐备",INDEX('特性清单'!$P$7:$P$18,MATCH(C116,'特性清单'!$A$7:$A$18,0))&lt;&gt;"齐备",D116&gt;INDEX('特性清单'!$K$7:$K$18,MATCH(C116,'特性清单'!$A$7:$A$18,0))),"待补齐试验设置",IF(NOT(AND(F116&lt;&gt;"",COUNT(G116:N116)=8,COUNT(P116:R116)=3,S116&lt;&gt;"",T116&lt;&gt;"",V116&lt;&gt;"",X116&lt;&gt;"",Y116&lt;&gt;"",AI116&lt;&gt;"")),"待补齐记录",IF(NOT(AND(G116&gt;=1,G116&lt;=4,MOD(G116,1)=0,I116&gt;=H116,MIN(J116:N116)&gt;=0,MOD(M116,1)=0,MOD(N116,1)=0,AA116&gt;=0,K116&lt;=AA116,L116&lt;=K116,MIN(P116:R116)&gt;=0,MOD(P116,1)=0,MOD(Q116,1)=0,MOD(R116,1)=0,P116&lt;=Z116,Q116&lt;=Z116,OR(S116="通过",S116="失败",S116="未完成"),OR(T116="通过",T116="失败",T116="未完成"),OR(AI116="新手",AI116="偶尔使用",AI116="经常使用"),COUNTIFS($A$7:$A$150,A116)=1)),"需核对数值或ID",IF(OR(AND(O116&lt;&gt;"完成",W116=""),AND(J116&gt;0,W116=""),AND(V116&lt;&gt;"一致",W116="")),"待说明原因",IF(V116&lt;&gt;"一致","条件偏差","纳入"))))))))</x:f>
        <x:v>待运行</x:v>
      </x:c>
      <x:c r="AF116" s="13" t="n">
        <x:f>IF(AE116&lt;&gt;"纳入",0,INDEX('配对比较'!$J$7:$J$42,MATCH(B116,'配对比较'!$A$7:$A$42,0)))</x:f>
        <x:v>0</x:v>
      </x:c>
      <x:c r="AG116" s="13" t="n">
        <x:f>IF(AE116&lt;&gt;"纳入",0,INDEX('配对比较'!$L$7:$L$42,MATCH(B116,'配对比较'!$A$7:$A$42,0)))</x:f>
        <x:v>0</x:v>
      </x:c>
      <x:c r="AH116" s="13" t="str">
        <x:f>IF(INDEX('特性清单'!$B$7:$B$18,MATCH(C116,'特性清单'!$A$7:$A$18,0))="","",IF(INDEX('特性清单'!$J$7:$J$18,MATCH(C116,'特性清单'!$A$7:$A$18,0))="","",INDEX('特性清单'!$J$7:$J$18,MATCH(C116,'特性清单'!$A$7:$A$18,0))))</x:f>
      </x:c>
      <x:c r="AI116" s="10"/>
      <x:c r="AJ116" s="13" t="n">
        <x:f>IF(AND(ISNUMBER(U116),U116&gt;=0),1,0)</x:f>
        <x:v>0</x:v>
      </x:c>
      <x:c r="AK116" s="13" t="str">
        <x:f>IF(AE116&lt;&gt;"纳入","",IF(OR(O116="超时",AA116&gt;AH116),1,0))</x:f>
      </x:c>
    </x:row>
    <x:row r="117" ht="25" customHeight="1">
      <x:c r="A117" s="13" t="str">
        <x:v>F10-R1-TR</x:v>
      </x:c>
      <x:c r="B117" s="13" t="str">
        <x:v>F10-R1</x:v>
      </x:c>
      <x:c r="C117" s="13" t="str">
        <x:v>F10</x:v>
      </x:c>
      <x:c r="D117" s="58" t="n">
        <x:v>1</x:v>
      </x:c>
      <x:c r="E117" s="13" t="str">
        <x:v>Trae</x:v>
      </x:c>
      <x:c r="F117" s="10"/>
      <x:c r="G117" s="56"/>
      <x:c r="H117" s="45"/>
      <x:c r="I117" s="45"/>
      <x:c r="J117" s="48"/>
      <x:c r="K117" s="48"/>
      <x:c r="L117" s="48"/>
      <x:c r="M117" s="56"/>
      <x:c r="N117" s="56"/>
      <x:c r="O117" s="10"/>
      <x:c r="P117" s="56"/>
      <x:c r="Q117" s="56"/>
      <x:c r="R117" s="56"/>
      <x:c r="S117" s="10"/>
      <x:c r="T117" s="10"/>
      <x:c r="U117" s="53"/>
      <x:c r="V117" s="10"/>
      <x:c r="W117" s="10"/>
      <x:c r="X117" s="10"/>
      <x:c r="Y117" s="10"/>
      <x:c r="Z117" s="13" t="str">
        <x:f>IF(INDEX('特性清单'!$B$7:$B$18,MATCH(C117,'特性清单'!$A$7:$A$18,0))="","",IF(INDEX('特性清单'!$H$7:$H$18,MATCH(C117,'特性清单'!$A$7:$A$18,0))="","",INDEX('特性清单'!$H$7:$H$18,MATCH(C117,'特性清单'!$A$7:$A$18,0))))</x:f>
      </x:c>
      <x:c r="AA117" s="50" t="str">
        <x:f>IF(AND(COUNT(H117:J117)=3,I117&gt;=H117,J117&gt;=0),ROUND((I117-H117)*1440-J117,2),"")</x:f>
      </x:c>
      <x:c r="AB117" s="51" t="str">
        <x:f>IF(AND(ISNUMBER(P117),ISNUMBER(Z117),Z117&gt;0,P117&gt;=0,P117&lt;=Z117),P117/Z117,"")</x:f>
      </x:c>
      <x:c r="AC117" s="51" t="str">
        <x:f>IF(AND(ISNUMBER(Q117),ISNUMBER(Z117),Z117&gt;0,Q117&gt;=0,Q117&lt;=Z117),Q117/Z117,"")</x:f>
      </x:c>
      <x:c r="AD117" s="13" t="str">
        <x:f>IF(AE117&lt;&gt;"纳入","",IF(AND(O117="完成",AC117=1,R117=0,S117="通过",T117="通过",AA117&lt;=AH117),1,0))</x:f>
      </x:c>
      <x:c r="AE117" s="13" t="str">
        <x:f>IF(O117="","待运行",IF(O117="进行中","进行中",IF(NOT(OR(O117="完成",O117="超时",O117="工具故障",O117="主动终止")),"需核对终态",IF(OR('试点设置'!$C$15&lt;&gt;"齐备",INDEX('特性清单'!$P$7:$P$18,MATCH(C117,'特性清单'!$A$7:$A$18,0))&lt;&gt;"齐备",D117&gt;INDEX('特性清单'!$K$7:$K$18,MATCH(C117,'特性清单'!$A$7:$A$18,0))),"待补齐试验设置",IF(NOT(AND(F117&lt;&gt;"",COUNT(G117:N117)=8,COUNT(P117:R117)=3,S117&lt;&gt;"",T117&lt;&gt;"",V117&lt;&gt;"",X117&lt;&gt;"",Y117&lt;&gt;"",AI117&lt;&gt;"")),"待补齐记录",IF(NOT(AND(G117&gt;=1,G117&lt;=4,MOD(G117,1)=0,I117&gt;=H117,MIN(J117:N117)&gt;=0,MOD(M117,1)=0,MOD(N117,1)=0,AA117&gt;=0,K117&lt;=AA117,L117&lt;=K117,MIN(P117:R117)&gt;=0,MOD(P117,1)=0,MOD(Q117,1)=0,MOD(R117,1)=0,P117&lt;=Z117,Q117&lt;=Z117,OR(S117="通过",S117="失败",S117="未完成"),OR(T117="通过",T117="失败",T117="未完成"),OR(AI117="新手",AI117="偶尔使用",AI117="经常使用"),COUNTIFS($A$7:$A$150,A117)=1)),"需核对数值或ID",IF(OR(AND(O117&lt;&gt;"完成",W117=""),AND(J117&gt;0,W117=""),AND(V117&lt;&gt;"一致",W117="")),"待说明原因",IF(V117&lt;&gt;"一致","条件偏差","纳入"))))))))</x:f>
        <x:v>待运行</x:v>
      </x:c>
      <x:c r="AF117" s="13" t="n">
        <x:f>IF(AE117&lt;&gt;"纳入",0,INDEX('配对比较'!$J$7:$J$42,MATCH(B117,'配对比较'!$A$7:$A$42,0)))</x:f>
        <x:v>0</x:v>
      </x:c>
      <x:c r="AG117" s="13" t="n">
        <x:f>IF(AE117&lt;&gt;"纳入",0,INDEX('配对比较'!$L$7:$L$42,MATCH(B117,'配对比较'!$A$7:$A$42,0)))</x:f>
        <x:v>0</x:v>
      </x:c>
      <x:c r="AH117" s="13" t="str">
        <x:f>IF(INDEX('特性清单'!$B$7:$B$18,MATCH(C117,'特性清单'!$A$7:$A$18,0))="","",IF(INDEX('特性清单'!$J$7:$J$18,MATCH(C117,'特性清单'!$A$7:$A$18,0))="","",INDEX('特性清单'!$J$7:$J$18,MATCH(C117,'特性清单'!$A$7:$A$18,0))))</x:f>
      </x:c>
      <x:c r="AI117" s="10"/>
      <x:c r="AJ117" s="13" t="n">
        <x:f>IF(AND(ISNUMBER(U117),U117&gt;=0),1,0)</x:f>
        <x:v>0</x:v>
      </x:c>
      <x:c r="AK117" s="13" t="str">
        <x:f>IF(AE117&lt;&gt;"纳入","",IF(OR(O117="超时",AA117&gt;AH117),1,0))</x:f>
      </x:c>
    </x:row>
    <x:row r="118" ht="25" customHeight="1">
      <x:c r="A118" s="13" t="str">
        <x:v>F10-R1-CA</x:v>
      </x:c>
      <x:c r="B118" s="13" t="str">
        <x:v>F10-R1</x:v>
      </x:c>
      <x:c r="C118" s="13" t="str">
        <x:v>F10</x:v>
      </x:c>
      <x:c r="D118" s="58" t="n">
        <x:v>1</x:v>
      </x:c>
      <x:c r="E118" s="13" t="str">
        <x:v>CodeArts</x:v>
      </x:c>
      <x:c r="F118" s="10"/>
      <x:c r="G118" s="56"/>
      <x:c r="H118" s="45"/>
      <x:c r="I118" s="45"/>
      <x:c r="J118" s="48"/>
      <x:c r="K118" s="48"/>
      <x:c r="L118" s="48"/>
      <x:c r="M118" s="56"/>
      <x:c r="N118" s="56"/>
      <x:c r="O118" s="10"/>
      <x:c r="P118" s="56"/>
      <x:c r="Q118" s="56"/>
      <x:c r="R118" s="56"/>
      <x:c r="S118" s="10"/>
      <x:c r="T118" s="10"/>
      <x:c r="U118" s="53"/>
      <x:c r="V118" s="10"/>
      <x:c r="W118" s="10"/>
      <x:c r="X118" s="10"/>
      <x:c r="Y118" s="10"/>
      <x:c r="Z118" s="13" t="str">
        <x:f>IF(INDEX('特性清单'!$B$7:$B$18,MATCH(C118,'特性清单'!$A$7:$A$18,0))="","",IF(INDEX('特性清单'!$H$7:$H$18,MATCH(C118,'特性清单'!$A$7:$A$18,0))="","",INDEX('特性清单'!$H$7:$H$18,MATCH(C118,'特性清单'!$A$7:$A$18,0))))</x:f>
      </x:c>
      <x:c r="AA118" s="50" t="str">
        <x:f>IF(AND(COUNT(H118:J118)=3,I118&gt;=H118,J118&gt;=0),ROUND((I118-H118)*1440-J118,2),"")</x:f>
      </x:c>
      <x:c r="AB118" s="51" t="str">
        <x:f>IF(AND(ISNUMBER(P118),ISNUMBER(Z118),Z118&gt;0,P118&gt;=0,P118&lt;=Z118),P118/Z118,"")</x:f>
      </x:c>
      <x:c r="AC118" s="51" t="str">
        <x:f>IF(AND(ISNUMBER(Q118),ISNUMBER(Z118),Z118&gt;0,Q118&gt;=0,Q118&lt;=Z118),Q118/Z118,"")</x:f>
      </x:c>
      <x:c r="AD118" s="13" t="str">
        <x:f>IF(AE118&lt;&gt;"纳入","",IF(AND(O118="完成",AC118=1,R118=0,S118="通过",T118="通过",AA118&lt;=AH118),1,0))</x:f>
      </x:c>
      <x:c r="AE118" s="13" t="str">
        <x:f>IF(O118="","待运行",IF(O118="进行中","进行中",IF(NOT(OR(O118="完成",O118="超时",O118="工具故障",O118="主动终止")),"需核对终态",IF(OR('试点设置'!$C$15&lt;&gt;"齐备",INDEX('特性清单'!$P$7:$P$18,MATCH(C118,'特性清单'!$A$7:$A$18,0))&lt;&gt;"齐备",D118&gt;INDEX('特性清单'!$K$7:$K$18,MATCH(C118,'特性清单'!$A$7:$A$18,0))),"待补齐试验设置",IF(NOT(AND(F118&lt;&gt;"",COUNT(G118:N118)=8,COUNT(P118:R118)=3,S118&lt;&gt;"",T118&lt;&gt;"",V118&lt;&gt;"",X118&lt;&gt;"",Y118&lt;&gt;"",AI118&lt;&gt;"")),"待补齐记录",IF(NOT(AND(G118&gt;=1,G118&lt;=4,MOD(G118,1)=0,I118&gt;=H118,MIN(J118:N118)&gt;=0,MOD(M118,1)=0,MOD(N118,1)=0,AA118&gt;=0,K118&lt;=AA118,L118&lt;=K118,MIN(P118:R118)&gt;=0,MOD(P118,1)=0,MOD(Q118,1)=0,MOD(R118,1)=0,P118&lt;=Z118,Q118&lt;=Z118,OR(S118="通过",S118="失败",S118="未完成"),OR(T118="通过",T118="失败",T118="未完成"),OR(AI118="新手",AI118="偶尔使用",AI118="经常使用"),COUNTIFS($A$7:$A$150,A118)=1)),"需核对数值或ID",IF(OR(AND(O118&lt;&gt;"完成",W118=""),AND(J118&gt;0,W118=""),AND(V118&lt;&gt;"一致",W118="")),"待说明原因",IF(V118&lt;&gt;"一致","条件偏差","纳入"))))))))</x:f>
        <x:v>待运行</x:v>
      </x:c>
      <x:c r="AF118" s="13" t="n">
        <x:f>IF(AE118&lt;&gt;"纳入",0,INDEX('配对比较'!$J$7:$J$42,MATCH(B118,'配对比较'!$A$7:$A$42,0)))</x:f>
        <x:v>0</x:v>
      </x:c>
      <x:c r="AG118" s="13" t="n">
        <x:f>IF(AE118&lt;&gt;"纳入",0,INDEX('配对比较'!$L$7:$L$42,MATCH(B118,'配对比较'!$A$7:$A$42,0)))</x:f>
        <x:v>0</x:v>
      </x:c>
      <x:c r="AH118" s="13" t="str">
        <x:f>IF(INDEX('特性清单'!$B$7:$B$18,MATCH(C118,'特性清单'!$A$7:$A$18,0))="","",IF(INDEX('特性清单'!$J$7:$J$18,MATCH(C118,'特性清单'!$A$7:$A$18,0))="","",INDEX('特性清单'!$J$7:$J$18,MATCH(C118,'特性清单'!$A$7:$A$18,0))))</x:f>
      </x:c>
      <x:c r="AI118" s="10"/>
      <x:c r="AJ118" s="13" t="n">
        <x:f>IF(AND(ISNUMBER(U118),U118&gt;=0),1,0)</x:f>
        <x:v>0</x:v>
      </x:c>
      <x:c r="AK118" s="13" t="str">
        <x:f>IF(AE118&lt;&gt;"纳入","",IF(OR(O118="超时",AA118&gt;AH118),1,0))</x:f>
      </x:c>
    </x:row>
    <x:row r="119" ht="25" customHeight="1">
      <x:c r="A119" s="13" t="str">
        <x:v>F10-R2-CC</x:v>
      </x:c>
      <x:c r="B119" s="13" t="str">
        <x:v>F10-R2</x:v>
      </x:c>
      <x:c r="C119" s="13" t="str">
        <x:v>F10</x:v>
      </x:c>
      <x:c r="D119" s="58" t="n">
        <x:v>2</x:v>
      </x:c>
      <x:c r="E119" s="13" t="str">
        <x:v>Claude Code</x:v>
      </x:c>
      <x:c r="F119" s="10"/>
      <x:c r="G119" s="56"/>
      <x:c r="H119" s="45"/>
      <x:c r="I119" s="45"/>
      <x:c r="J119" s="48"/>
      <x:c r="K119" s="48"/>
      <x:c r="L119" s="48"/>
      <x:c r="M119" s="56"/>
      <x:c r="N119" s="56"/>
      <x:c r="O119" s="10"/>
      <x:c r="P119" s="56"/>
      <x:c r="Q119" s="56"/>
      <x:c r="R119" s="56"/>
      <x:c r="S119" s="10"/>
      <x:c r="T119" s="10"/>
      <x:c r="U119" s="53"/>
      <x:c r="V119" s="10"/>
      <x:c r="W119" s="10"/>
      <x:c r="X119" s="10"/>
      <x:c r="Y119" s="10"/>
      <x:c r="Z119" s="13" t="str">
        <x:f>IF(INDEX('特性清单'!$B$7:$B$18,MATCH(C119,'特性清单'!$A$7:$A$18,0))="","",IF(INDEX('特性清单'!$H$7:$H$18,MATCH(C119,'特性清单'!$A$7:$A$18,0))="","",INDEX('特性清单'!$H$7:$H$18,MATCH(C119,'特性清单'!$A$7:$A$18,0))))</x:f>
      </x:c>
      <x:c r="AA119" s="50" t="str">
        <x:f>IF(AND(COUNT(H119:J119)=3,I119&gt;=H119,J119&gt;=0),ROUND((I119-H119)*1440-J119,2),"")</x:f>
      </x:c>
      <x:c r="AB119" s="51" t="str">
        <x:f>IF(AND(ISNUMBER(P119),ISNUMBER(Z119),Z119&gt;0,P119&gt;=0,P119&lt;=Z119),P119/Z119,"")</x:f>
      </x:c>
      <x:c r="AC119" s="51" t="str">
        <x:f>IF(AND(ISNUMBER(Q119),ISNUMBER(Z119),Z119&gt;0,Q119&gt;=0,Q119&lt;=Z119),Q119/Z119,"")</x:f>
      </x:c>
      <x:c r="AD119" s="13" t="str">
        <x:f>IF(AE119&lt;&gt;"纳入","",IF(AND(O119="完成",AC119=1,R119=0,S119="通过",T119="通过",AA119&lt;=AH119),1,0))</x:f>
      </x:c>
      <x:c r="AE119" s="13" t="str">
        <x:f>IF(O119="","待运行",IF(O119="进行中","进行中",IF(NOT(OR(O119="完成",O119="超时",O119="工具故障",O119="主动终止")),"需核对终态",IF(OR('试点设置'!$C$15&lt;&gt;"齐备",INDEX('特性清单'!$P$7:$P$18,MATCH(C119,'特性清单'!$A$7:$A$18,0))&lt;&gt;"齐备",D119&gt;INDEX('特性清单'!$K$7:$K$18,MATCH(C119,'特性清单'!$A$7:$A$18,0))),"待补齐试验设置",IF(NOT(AND(F119&lt;&gt;"",COUNT(G119:N119)=8,COUNT(P119:R119)=3,S119&lt;&gt;"",T119&lt;&gt;"",V119&lt;&gt;"",X119&lt;&gt;"",Y119&lt;&gt;"",AI119&lt;&gt;"")),"待补齐记录",IF(NOT(AND(G119&gt;=1,G119&lt;=4,MOD(G119,1)=0,I119&gt;=H119,MIN(J119:N119)&gt;=0,MOD(M119,1)=0,MOD(N119,1)=0,AA119&gt;=0,K119&lt;=AA119,L119&lt;=K119,MIN(P119:R119)&gt;=0,MOD(P119,1)=0,MOD(Q119,1)=0,MOD(R119,1)=0,P119&lt;=Z119,Q119&lt;=Z119,OR(S119="通过",S119="失败",S119="未完成"),OR(T119="通过",T119="失败",T119="未完成"),OR(AI119="新手",AI119="偶尔使用",AI119="经常使用"),COUNTIFS($A$7:$A$150,A119)=1)),"需核对数值或ID",IF(OR(AND(O119&lt;&gt;"完成",W119=""),AND(J119&gt;0,W119=""),AND(V119&lt;&gt;"一致",W119="")),"待说明原因",IF(V119&lt;&gt;"一致","条件偏差","纳入"))))))))</x:f>
        <x:v>待运行</x:v>
      </x:c>
      <x:c r="AF119" s="13" t="n">
        <x:f>IF(AE119&lt;&gt;"纳入",0,INDEX('配对比较'!$J$7:$J$42,MATCH(B119,'配对比较'!$A$7:$A$42,0)))</x:f>
        <x:v>0</x:v>
      </x:c>
      <x:c r="AG119" s="13" t="n">
        <x:f>IF(AE119&lt;&gt;"纳入",0,INDEX('配对比较'!$L$7:$L$42,MATCH(B119,'配对比较'!$A$7:$A$42,0)))</x:f>
        <x:v>0</x:v>
      </x:c>
      <x:c r="AH119" s="13" t="str">
        <x:f>IF(INDEX('特性清单'!$B$7:$B$18,MATCH(C119,'特性清单'!$A$7:$A$18,0))="","",IF(INDEX('特性清单'!$J$7:$J$18,MATCH(C119,'特性清单'!$A$7:$A$18,0))="","",INDEX('特性清单'!$J$7:$J$18,MATCH(C119,'特性清单'!$A$7:$A$18,0))))</x:f>
      </x:c>
      <x:c r="AI119" s="10"/>
      <x:c r="AJ119" s="13" t="n">
        <x:f>IF(AND(ISNUMBER(U119),U119&gt;=0),1,0)</x:f>
        <x:v>0</x:v>
      </x:c>
      <x:c r="AK119" s="13" t="str">
        <x:f>IF(AE119&lt;&gt;"纳入","",IF(OR(O119="超时",AA119&gt;AH119),1,0))</x:f>
      </x:c>
    </x:row>
    <x:row r="120" ht="25" customHeight="1">
      <x:c r="A120" s="13" t="str">
        <x:v>F10-R2-CX</x:v>
      </x:c>
      <x:c r="B120" s="13" t="str">
        <x:v>F10-R2</x:v>
      </x:c>
      <x:c r="C120" s="13" t="str">
        <x:v>F10</x:v>
      </x:c>
      <x:c r="D120" s="58" t="n">
        <x:v>2</x:v>
      </x:c>
      <x:c r="E120" s="13" t="str">
        <x:v>Codex</x:v>
      </x:c>
      <x:c r="F120" s="10"/>
      <x:c r="G120" s="56"/>
      <x:c r="H120" s="45"/>
      <x:c r="I120" s="45"/>
      <x:c r="J120" s="48"/>
      <x:c r="K120" s="48"/>
      <x:c r="L120" s="48"/>
      <x:c r="M120" s="56"/>
      <x:c r="N120" s="56"/>
      <x:c r="O120" s="10"/>
      <x:c r="P120" s="56"/>
      <x:c r="Q120" s="56"/>
      <x:c r="R120" s="56"/>
      <x:c r="S120" s="10"/>
      <x:c r="T120" s="10"/>
      <x:c r="U120" s="53"/>
      <x:c r="V120" s="10"/>
      <x:c r="W120" s="10"/>
      <x:c r="X120" s="10"/>
      <x:c r="Y120" s="10"/>
      <x:c r="Z120" s="13" t="str">
        <x:f>IF(INDEX('特性清单'!$B$7:$B$18,MATCH(C120,'特性清单'!$A$7:$A$18,0))="","",IF(INDEX('特性清单'!$H$7:$H$18,MATCH(C120,'特性清单'!$A$7:$A$18,0))="","",INDEX('特性清单'!$H$7:$H$18,MATCH(C120,'特性清单'!$A$7:$A$18,0))))</x:f>
      </x:c>
      <x:c r="AA120" s="50" t="str">
        <x:f>IF(AND(COUNT(H120:J120)=3,I120&gt;=H120,J120&gt;=0),ROUND((I120-H120)*1440-J120,2),"")</x:f>
      </x:c>
      <x:c r="AB120" s="51" t="str">
        <x:f>IF(AND(ISNUMBER(P120),ISNUMBER(Z120),Z120&gt;0,P120&gt;=0,P120&lt;=Z120),P120/Z120,"")</x:f>
      </x:c>
      <x:c r="AC120" s="51" t="str">
        <x:f>IF(AND(ISNUMBER(Q120),ISNUMBER(Z120),Z120&gt;0,Q120&gt;=0,Q120&lt;=Z120),Q120/Z120,"")</x:f>
      </x:c>
      <x:c r="AD120" s="13" t="str">
        <x:f>IF(AE120&lt;&gt;"纳入","",IF(AND(O120="完成",AC120=1,R120=0,S120="通过",T120="通过",AA120&lt;=AH120),1,0))</x:f>
      </x:c>
      <x:c r="AE120" s="13" t="str">
        <x:f>IF(O120="","待运行",IF(O120="进行中","进行中",IF(NOT(OR(O120="完成",O120="超时",O120="工具故障",O120="主动终止")),"需核对终态",IF(OR('试点设置'!$C$15&lt;&gt;"齐备",INDEX('特性清单'!$P$7:$P$18,MATCH(C120,'特性清单'!$A$7:$A$18,0))&lt;&gt;"齐备",D120&gt;INDEX('特性清单'!$K$7:$K$18,MATCH(C120,'特性清单'!$A$7:$A$18,0))),"待补齐试验设置",IF(NOT(AND(F120&lt;&gt;"",COUNT(G120:N120)=8,COUNT(P120:R120)=3,S120&lt;&gt;"",T120&lt;&gt;"",V120&lt;&gt;"",X120&lt;&gt;"",Y120&lt;&gt;"",AI120&lt;&gt;"")),"待补齐记录",IF(NOT(AND(G120&gt;=1,G120&lt;=4,MOD(G120,1)=0,I120&gt;=H120,MIN(J120:N120)&gt;=0,MOD(M120,1)=0,MOD(N120,1)=0,AA120&gt;=0,K120&lt;=AA120,L120&lt;=K120,MIN(P120:R120)&gt;=0,MOD(P120,1)=0,MOD(Q120,1)=0,MOD(R120,1)=0,P120&lt;=Z120,Q120&lt;=Z120,OR(S120="通过",S120="失败",S120="未完成"),OR(T120="通过",T120="失败",T120="未完成"),OR(AI120="新手",AI120="偶尔使用",AI120="经常使用"),COUNTIFS($A$7:$A$150,A120)=1)),"需核对数值或ID",IF(OR(AND(O120&lt;&gt;"完成",W120=""),AND(J120&gt;0,W120=""),AND(V120&lt;&gt;"一致",W120="")),"待说明原因",IF(V120&lt;&gt;"一致","条件偏差","纳入"))))))))</x:f>
        <x:v>待运行</x:v>
      </x:c>
      <x:c r="AF120" s="13" t="n">
        <x:f>IF(AE120&lt;&gt;"纳入",0,INDEX('配对比较'!$J$7:$J$42,MATCH(B120,'配对比较'!$A$7:$A$42,0)))</x:f>
        <x:v>0</x:v>
      </x:c>
      <x:c r="AG120" s="13" t="n">
        <x:f>IF(AE120&lt;&gt;"纳入",0,INDEX('配对比较'!$L$7:$L$42,MATCH(B120,'配对比较'!$A$7:$A$42,0)))</x:f>
        <x:v>0</x:v>
      </x:c>
      <x:c r="AH120" s="13" t="str">
        <x:f>IF(INDEX('特性清单'!$B$7:$B$18,MATCH(C120,'特性清单'!$A$7:$A$18,0))="","",IF(INDEX('特性清单'!$J$7:$J$18,MATCH(C120,'特性清单'!$A$7:$A$18,0))="","",INDEX('特性清单'!$J$7:$J$18,MATCH(C120,'特性清单'!$A$7:$A$18,0))))</x:f>
      </x:c>
      <x:c r="AI120" s="10"/>
      <x:c r="AJ120" s="13" t="n">
        <x:f>IF(AND(ISNUMBER(U120),U120&gt;=0),1,0)</x:f>
        <x:v>0</x:v>
      </x:c>
      <x:c r="AK120" s="13" t="str">
        <x:f>IF(AE120&lt;&gt;"纳入","",IF(OR(O120="超时",AA120&gt;AH120),1,0))</x:f>
      </x:c>
    </x:row>
    <x:row r="121" ht="25" customHeight="1">
      <x:c r="A121" s="13" t="str">
        <x:v>F10-R2-TR</x:v>
      </x:c>
      <x:c r="B121" s="13" t="str">
        <x:v>F10-R2</x:v>
      </x:c>
      <x:c r="C121" s="13" t="str">
        <x:v>F10</x:v>
      </x:c>
      <x:c r="D121" s="58" t="n">
        <x:v>2</x:v>
      </x:c>
      <x:c r="E121" s="13" t="str">
        <x:v>Trae</x:v>
      </x:c>
      <x:c r="F121" s="10"/>
      <x:c r="G121" s="56"/>
      <x:c r="H121" s="45"/>
      <x:c r="I121" s="45"/>
      <x:c r="J121" s="48"/>
      <x:c r="K121" s="48"/>
      <x:c r="L121" s="48"/>
      <x:c r="M121" s="56"/>
      <x:c r="N121" s="56"/>
      <x:c r="O121" s="10"/>
      <x:c r="P121" s="56"/>
      <x:c r="Q121" s="56"/>
      <x:c r="R121" s="56"/>
      <x:c r="S121" s="10"/>
      <x:c r="T121" s="10"/>
      <x:c r="U121" s="53"/>
      <x:c r="V121" s="10"/>
      <x:c r="W121" s="10"/>
      <x:c r="X121" s="10"/>
      <x:c r="Y121" s="10"/>
      <x:c r="Z121" s="13" t="str">
        <x:f>IF(INDEX('特性清单'!$B$7:$B$18,MATCH(C121,'特性清单'!$A$7:$A$18,0))="","",IF(INDEX('特性清单'!$H$7:$H$18,MATCH(C121,'特性清单'!$A$7:$A$18,0))="","",INDEX('特性清单'!$H$7:$H$18,MATCH(C121,'特性清单'!$A$7:$A$18,0))))</x:f>
      </x:c>
      <x:c r="AA121" s="50" t="str">
        <x:f>IF(AND(COUNT(H121:J121)=3,I121&gt;=H121,J121&gt;=0),ROUND((I121-H121)*1440-J121,2),"")</x:f>
      </x:c>
      <x:c r="AB121" s="51" t="str">
        <x:f>IF(AND(ISNUMBER(P121),ISNUMBER(Z121),Z121&gt;0,P121&gt;=0,P121&lt;=Z121),P121/Z121,"")</x:f>
      </x:c>
      <x:c r="AC121" s="51" t="str">
        <x:f>IF(AND(ISNUMBER(Q121),ISNUMBER(Z121),Z121&gt;0,Q121&gt;=0,Q121&lt;=Z121),Q121/Z121,"")</x:f>
      </x:c>
      <x:c r="AD121" s="13" t="str">
        <x:f>IF(AE121&lt;&gt;"纳入","",IF(AND(O121="完成",AC121=1,R121=0,S121="通过",T121="通过",AA121&lt;=AH121),1,0))</x:f>
      </x:c>
      <x:c r="AE121" s="13" t="str">
        <x:f>IF(O121="","待运行",IF(O121="进行中","进行中",IF(NOT(OR(O121="完成",O121="超时",O121="工具故障",O121="主动终止")),"需核对终态",IF(OR('试点设置'!$C$15&lt;&gt;"齐备",INDEX('特性清单'!$P$7:$P$18,MATCH(C121,'特性清单'!$A$7:$A$18,0))&lt;&gt;"齐备",D121&gt;INDEX('特性清单'!$K$7:$K$18,MATCH(C121,'特性清单'!$A$7:$A$18,0))),"待补齐试验设置",IF(NOT(AND(F121&lt;&gt;"",COUNT(G121:N121)=8,COUNT(P121:R121)=3,S121&lt;&gt;"",T121&lt;&gt;"",V121&lt;&gt;"",X121&lt;&gt;"",Y121&lt;&gt;"",AI121&lt;&gt;"")),"待补齐记录",IF(NOT(AND(G121&gt;=1,G121&lt;=4,MOD(G121,1)=0,I121&gt;=H121,MIN(J121:N121)&gt;=0,MOD(M121,1)=0,MOD(N121,1)=0,AA121&gt;=0,K121&lt;=AA121,L121&lt;=K121,MIN(P121:R121)&gt;=0,MOD(P121,1)=0,MOD(Q121,1)=0,MOD(R121,1)=0,P121&lt;=Z121,Q121&lt;=Z121,OR(S121="通过",S121="失败",S121="未完成"),OR(T121="通过",T121="失败",T121="未完成"),OR(AI121="新手",AI121="偶尔使用",AI121="经常使用"),COUNTIFS($A$7:$A$150,A121)=1)),"需核对数值或ID",IF(OR(AND(O121&lt;&gt;"完成",W121=""),AND(J121&gt;0,W121=""),AND(V121&lt;&gt;"一致",W121="")),"待说明原因",IF(V121&lt;&gt;"一致","条件偏差","纳入"))))))))</x:f>
        <x:v>待运行</x:v>
      </x:c>
      <x:c r="AF121" s="13" t="n">
        <x:f>IF(AE121&lt;&gt;"纳入",0,INDEX('配对比较'!$J$7:$J$42,MATCH(B121,'配对比较'!$A$7:$A$42,0)))</x:f>
        <x:v>0</x:v>
      </x:c>
      <x:c r="AG121" s="13" t="n">
        <x:f>IF(AE121&lt;&gt;"纳入",0,INDEX('配对比较'!$L$7:$L$42,MATCH(B121,'配对比较'!$A$7:$A$42,0)))</x:f>
        <x:v>0</x:v>
      </x:c>
      <x:c r="AH121" s="13" t="str">
        <x:f>IF(INDEX('特性清单'!$B$7:$B$18,MATCH(C121,'特性清单'!$A$7:$A$18,0))="","",IF(INDEX('特性清单'!$J$7:$J$18,MATCH(C121,'特性清单'!$A$7:$A$18,0))="","",INDEX('特性清单'!$J$7:$J$18,MATCH(C121,'特性清单'!$A$7:$A$18,0))))</x:f>
      </x:c>
      <x:c r="AI121" s="10"/>
      <x:c r="AJ121" s="13" t="n">
        <x:f>IF(AND(ISNUMBER(U121),U121&gt;=0),1,0)</x:f>
        <x:v>0</x:v>
      </x:c>
      <x:c r="AK121" s="13" t="str">
        <x:f>IF(AE121&lt;&gt;"纳入","",IF(OR(O121="超时",AA121&gt;AH121),1,0))</x:f>
      </x:c>
    </x:row>
    <x:row r="122" ht="25" customHeight="1">
      <x:c r="A122" s="13" t="str">
        <x:v>F10-R2-CA</x:v>
      </x:c>
      <x:c r="B122" s="13" t="str">
        <x:v>F10-R2</x:v>
      </x:c>
      <x:c r="C122" s="13" t="str">
        <x:v>F10</x:v>
      </x:c>
      <x:c r="D122" s="58" t="n">
        <x:v>2</x:v>
      </x:c>
      <x:c r="E122" s="13" t="str">
        <x:v>CodeArts</x:v>
      </x:c>
      <x:c r="F122" s="10"/>
      <x:c r="G122" s="56"/>
      <x:c r="H122" s="45"/>
      <x:c r="I122" s="45"/>
      <x:c r="J122" s="48"/>
      <x:c r="K122" s="48"/>
      <x:c r="L122" s="48"/>
      <x:c r="M122" s="56"/>
      <x:c r="N122" s="56"/>
      <x:c r="O122" s="10"/>
      <x:c r="P122" s="56"/>
      <x:c r="Q122" s="56"/>
      <x:c r="R122" s="56"/>
      <x:c r="S122" s="10"/>
      <x:c r="T122" s="10"/>
      <x:c r="U122" s="53"/>
      <x:c r="V122" s="10"/>
      <x:c r="W122" s="10"/>
      <x:c r="X122" s="10"/>
      <x:c r="Y122" s="10"/>
      <x:c r="Z122" s="13" t="str">
        <x:f>IF(INDEX('特性清单'!$B$7:$B$18,MATCH(C122,'特性清单'!$A$7:$A$18,0))="","",IF(INDEX('特性清单'!$H$7:$H$18,MATCH(C122,'特性清单'!$A$7:$A$18,0))="","",INDEX('特性清单'!$H$7:$H$18,MATCH(C122,'特性清单'!$A$7:$A$18,0))))</x:f>
      </x:c>
      <x:c r="AA122" s="50" t="str">
        <x:f>IF(AND(COUNT(H122:J122)=3,I122&gt;=H122,J122&gt;=0),ROUND((I122-H122)*1440-J122,2),"")</x:f>
      </x:c>
      <x:c r="AB122" s="51" t="str">
        <x:f>IF(AND(ISNUMBER(P122),ISNUMBER(Z122),Z122&gt;0,P122&gt;=0,P122&lt;=Z122),P122/Z122,"")</x:f>
      </x:c>
      <x:c r="AC122" s="51" t="str">
        <x:f>IF(AND(ISNUMBER(Q122),ISNUMBER(Z122),Z122&gt;0,Q122&gt;=0,Q122&lt;=Z122),Q122/Z122,"")</x:f>
      </x:c>
      <x:c r="AD122" s="13" t="str">
        <x:f>IF(AE122&lt;&gt;"纳入","",IF(AND(O122="完成",AC122=1,R122=0,S122="通过",T122="通过",AA122&lt;=AH122),1,0))</x:f>
      </x:c>
      <x:c r="AE122" s="13" t="str">
        <x:f>IF(O122="","待运行",IF(O122="进行中","进行中",IF(NOT(OR(O122="完成",O122="超时",O122="工具故障",O122="主动终止")),"需核对终态",IF(OR('试点设置'!$C$15&lt;&gt;"齐备",INDEX('特性清单'!$P$7:$P$18,MATCH(C122,'特性清单'!$A$7:$A$18,0))&lt;&gt;"齐备",D122&gt;INDEX('特性清单'!$K$7:$K$18,MATCH(C122,'特性清单'!$A$7:$A$18,0))),"待补齐试验设置",IF(NOT(AND(F122&lt;&gt;"",COUNT(G122:N122)=8,COUNT(P122:R122)=3,S122&lt;&gt;"",T122&lt;&gt;"",V122&lt;&gt;"",X122&lt;&gt;"",Y122&lt;&gt;"",AI122&lt;&gt;"")),"待补齐记录",IF(NOT(AND(G122&gt;=1,G122&lt;=4,MOD(G122,1)=0,I122&gt;=H122,MIN(J122:N122)&gt;=0,MOD(M122,1)=0,MOD(N122,1)=0,AA122&gt;=0,K122&lt;=AA122,L122&lt;=K122,MIN(P122:R122)&gt;=0,MOD(P122,1)=0,MOD(Q122,1)=0,MOD(R122,1)=0,P122&lt;=Z122,Q122&lt;=Z122,OR(S122="通过",S122="失败",S122="未完成"),OR(T122="通过",T122="失败",T122="未完成"),OR(AI122="新手",AI122="偶尔使用",AI122="经常使用"),COUNTIFS($A$7:$A$150,A122)=1)),"需核对数值或ID",IF(OR(AND(O122&lt;&gt;"完成",W122=""),AND(J122&gt;0,W122=""),AND(V122&lt;&gt;"一致",W122="")),"待说明原因",IF(V122&lt;&gt;"一致","条件偏差","纳入"))))))))</x:f>
        <x:v>待运行</x:v>
      </x:c>
      <x:c r="AF122" s="13" t="n">
        <x:f>IF(AE122&lt;&gt;"纳入",0,INDEX('配对比较'!$J$7:$J$42,MATCH(B122,'配对比较'!$A$7:$A$42,0)))</x:f>
        <x:v>0</x:v>
      </x:c>
      <x:c r="AG122" s="13" t="n">
        <x:f>IF(AE122&lt;&gt;"纳入",0,INDEX('配对比较'!$L$7:$L$42,MATCH(B122,'配对比较'!$A$7:$A$42,0)))</x:f>
        <x:v>0</x:v>
      </x:c>
      <x:c r="AH122" s="13" t="str">
        <x:f>IF(INDEX('特性清单'!$B$7:$B$18,MATCH(C122,'特性清单'!$A$7:$A$18,0))="","",IF(INDEX('特性清单'!$J$7:$J$18,MATCH(C122,'特性清单'!$A$7:$A$18,0))="","",INDEX('特性清单'!$J$7:$J$18,MATCH(C122,'特性清单'!$A$7:$A$18,0))))</x:f>
      </x:c>
      <x:c r="AI122" s="10"/>
      <x:c r="AJ122" s="13" t="n">
        <x:f>IF(AND(ISNUMBER(U122),U122&gt;=0),1,0)</x:f>
        <x:v>0</x:v>
      </x:c>
      <x:c r="AK122" s="13" t="str">
        <x:f>IF(AE122&lt;&gt;"纳入","",IF(OR(O122="超时",AA122&gt;AH122),1,0))</x:f>
      </x:c>
    </x:row>
    <x:row r="123" ht="25" customHeight="1">
      <x:c r="A123" s="13" t="str">
        <x:v>F10-R3-CC</x:v>
      </x:c>
      <x:c r="B123" s="13" t="str">
        <x:v>F10-R3</x:v>
      </x:c>
      <x:c r="C123" s="13" t="str">
        <x:v>F10</x:v>
      </x:c>
      <x:c r="D123" s="58" t="n">
        <x:v>3</x:v>
      </x:c>
      <x:c r="E123" s="13" t="str">
        <x:v>Claude Code</x:v>
      </x:c>
      <x:c r="F123" s="10"/>
      <x:c r="G123" s="56"/>
      <x:c r="H123" s="45"/>
      <x:c r="I123" s="45"/>
      <x:c r="J123" s="48"/>
      <x:c r="K123" s="48"/>
      <x:c r="L123" s="48"/>
      <x:c r="M123" s="56"/>
      <x:c r="N123" s="56"/>
      <x:c r="O123" s="10"/>
      <x:c r="P123" s="56"/>
      <x:c r="Q123" s="56"/>
      <x:c r="R123" s="56"/>
      <x:c r="S123" s="10"/>
      <x:c r="T123" s="10"/>
      <x:c r="U123" s="53"/>
      <x:c r="V123" s="10"/>
      <x:c r="W123" s="10"/>
      <x:c r="X123" s="10"/>
      <x:c r="Y123" s="10"/>
      <x:c r="Z123" s="13" t="str">
        <x:f>IF(INDEX('特性清单'!$B$7:$B$18,MATCH(C123,'特性清单'!$A$7:$A$18,0))="","",IF(INDEX('特性清单'!$H$7:$H$18,MATCH(C123,'特性清单'!$A$7:$A$18,0))="","",INDEX('特性清单'!$H$7:$H$18,MATCH(C123,'特性清单'!$A$7:$A$18,0))))</x:f>
      </x:c>
      <x:c r="AA123" s="50" t="str">
        <x:f>IF(AND(COUNT(H123:J123)=3,I123&gt;=H123,J123&gt;=0),ROUND((I123-H123)*1440-J123,2),"")</x:f>
      </x:c>
      <x:c r="AB123" s="51" t="str">
        <x:f>IF(AND(ISNUMBER(P123),ISNUMBER(Z123),Z123&gt;0,P123&gt;=0,P123&lt;=Z123),P123/Z123,"")</x:f>
      </x:c>
      <x:c r="AC123" s="51" t="str">
        <x:f>IF(AND(ISNUMBER(Q123),ISNUMBER(Z123),Z123&gt;0,Q123&gt;=0,Q123&lt;=Z123),Q123/Z123,"")</x:f>
      </x:c>
      <x:c r="AD123" s="13" t="str">
        <x:f>IF(AE123&lt;&gt;"纳入","",IF(AND(O123="完成",AC123=1,R123=0,S123="通过",T123="通过",AA123&lt;=AH123),1,0))</x:f>
      </x:c>
      <x:c r="AE123" s="13" t="str">
        <x:f>IF(O123="","待运行",IF(O123="进行中","进行中",IF(NOT(OR(O123="完成",O123="超时",O123="工具故障",O123="主动终止")),"需核对终态",IF(OR('试点设置'!$C$15&lt;&gt;"齐备",INDEX('特性清单'!$P$7:$P$18,MATCH(C123,'特性清单'!$A$7:$A$18,0))&lt;&gt;"齐备",D123&gt;INDEX('特性清单'!$K$7:$K$18,MATCH(C123,'特性清单'!$A$7:$A$18,0))),"待补齐试验设置",IF(NOT(AND(F123&lt;&gt;"",COUNT(G123:N123)=8,COUNT(P123:R123)=3,S123&lt;&gt;"",T123&lt;&gt;"",V123&lt;&gt;"",X123&lt;&gt;"",Y123&lt;&gt;"",AI123&lt;&gt;"")),"待补齐记录",IF(NOT(AND(G123&gt;=1,G123&lt;=4,MOD(G123,1)=0,I123&gt;=H123,MIN(J123:N123)&gt;=0,MOD(M123,1)=0,MOD(N123,1)=0,AA123&gt;=0,K123&lt;=AA123,L123&lt;=K123,MIN(P123:R123)&gt;=0,MOD(P123,1)=0,MOD(Q123,1)=0,MOD(R123,1)=0,P123&lt;=Z123,Q123&lt;=Z123,OR(S123="通过",S123="失败",S123="未完成"),OR(T123="通过",T123="失败",T123="未完成"),OR(AI123="新手",AI123="偶尔使用",AI123="经常使用"),COUNTIFS($A$7:$A$150,A123)=1)),"需核对数值或ID",IF(OR(AND(O123&lt;&gt;"完成",W123=""),AND(J123&gt;0,W123=""),AND(V123&lt;&gt;"一致",W123="")),"待说明原因",IF(V123&lt;&gt;"一致","条件偏差","纳入"))))))))</x:f>
        <x:v>待运行</x:v>
      </x:c>
      <x:c r="AF123" s="13" t="n">
        <x:f>IF(AE123&lt;&gt;"纳入",0,INDEX('配对比较'!$J$7:$J$42,MATCH(B123,'配对比较'!$A$7:$A$42,0)))</x:f>
        <x:v>0</x:v>
      </x:c>
      <x:c r="AG123" s="13" t="n">
        <x:f>IF(AE123&lt;&gt;"纳入",0,INDEX('配对比较'!$L$7:$L$42,MATCH(B123,'配对比较'!$A$7:$A$42,0)))</x:f>
        <x:v>0</x:v>
      </x:c>
      <x:c r="AH123" s="13" t="str">
        <x:f>IF(INDEX('特性清单'!$B$7:$B$18,MATCH(C123,'特性清单'!$A$7:$A$18,0))="","",IF(INDEX('特性清单'!$J$7:$J$18,MATCH(C123,'特性清单'!$A$7:$A$18,0))="","",INDEX('特性清单'!$J$7:$J$18,MATCH(C123,'特性清单'!$A$7:$A$18,0))))</x:f>
      </x:c>
      <x:c r="AI123" s="10"/>
      <x:c r="AJ123" s="13" t="n">
        <x:f>IF(AND(ISNUMBER(U123),U123&gt;=0),1,0)</x:f>
        <x:v>0</x:v>
      </x:c>
      <x:c r="AK123" s="13" t="str">
        <x:f>IF(AE123&lt;&gt;"纳入","",IF(OR(O123="超时",AA123&gt;AH123),1,0))</x:f>
      </x:c>
    </x:row>
    <x:row r="124" ht="25" customHeight="1">
      <x:c r="A124" s="13" t="str">
        <x:v>F10-R3-CX</x:v>
      </x:c>
      <x:c r="B124" s="13" t="str">
        <x:v>F10-R3</x:v>
      </x:c>
      <x:c r="C124" s="13" t="str">
        <x:v>F10</x:v>
      </x:c>
      <x:c r="D124" s="58" t="n">
        <x:v>3</x:v>
      </x:c>
      <x:c r="E124" s="13" t="str">
        <x:v>Codex</x:v>
      </x:c>
      <x:c r="F124" s="10"/>
      <x:c r="G124" s="56"/>
      <x:c r="H124" s="45"/>
      <x:c r="I124" s="45"/>
      <x:c r="J124" s="48"/>
      <x:c r="K124" s="48"/>
      <x:c r="L124" s="48"/>
      <x:c r="M124" s="56"/>
      <x:c r="N124" s="56"/>
      <x:c r="O124" s="10"/>
      <x:c r="P124" s="56"/>
      <x:c r="Q124" s="56"/>
      <x:c r="R124" s="56"/>
      <x:c r="S124" s="10"/>
      <x:c r="T124" s="10"/>
      <x:c r="U124" s="53"/>
      <x:c r="V124" s="10"/>
      <x:c r="W124" s="10"/>
      <x:c r="X124" s="10"/>
      <x:c r="Y124" s="10"/>
      <x:c r="Z124" s="13" t="str">
        <x:f>IF(INDEX('特性清单'!$B$7:$B$18,MATCH(C124,'特性清单'!$A$7:$A$18,0))="","",IF(INDEX('特性清单'!$H$7:$H$18,MATCH(C124,'特性清单'!$A$7:$A$18,0))="","",INDEX('特性清单'!$H$7:$H$18,MATCH(C124,'特性清单'!$A$7:$A$18,0))))</x:f>
      </x:c>
      <x:c r="AA124" s="50" t="str">
        <x:f>IF(AND(COUNT(H124:J124)=3,I124&gt;=H124,J124&gt;=0),ROUND((I124-H124)*1440-J124,2),"")</x:f>
      </x:c>
      <x:c r="AB124" s="51" t="str">
        <x:f>IF(AND(ISNUMBER(P124),ISNUMBER(Z124),Z124&gt;0,P124&gt;=0,P124&lt;=Z124),P124/Z124,"")</x:f>
      </x:c>
      <x:c r="AC124" s="51" t="str">
        <x:f>IF(AND(ISNUMBER(Q124),ISNUMBER(Z124),Z124&gt;0,Q124&gt;=0,Q124&lt;=Z124),Q124/Z124,"")</x:f>
      </x:c>
      <x:c r="AD124" s="13" t="str">
        <x:f>IF(AE124&lt;&gt;"纳入","",IF(AND(O124="完成",AC124=1,R124=0,S124="通过",T124="通过",AA124&lt;=AH124),1,0))</x:f>
      </x:c>
      <x:c r="AE124" s="13" t="str">
        <x:f>IF(O124="","待运行",IF(O124="进行中","进行中",IF(NOT(OR(O124="完成",O124="超时",O124="工具故障",O124="主动终止")),"需核对终态",IF(OR('试点设置'!$C$15&lt;&gt;"齐备",INDEX('特性清单'!$P$7:$P$18,MATCH(C124,'特性清单'!$A$7:$A$18,0))&lt;&gt;"齐备",D124&gt;INDEX('特性清单'!$K$7:$K$18,MATCH(C124,'特性清单'!$A$7:$A$18,0))),"待补齐试验设置",IF(NOT(AND(F124&lt;&gt;"",COUNT(G124:N124)=8,COUNT(P124:R124)=3,S124&lt;&gt;"",T124&lt;&gt;"",V124&lt;&gt;"",X124&lt;&gt;"",Y124&lt;&gt;"",AI124&lt;&gt;"")),"待补齐记录",IF(NOT(AND(G124&gt;=1,G124&lt;=4,MOD(G124,1)=0,I124&gt;=H124,MIN(J124:N124)&gt;=0,MOD(M124,1)=0,MOD(N124,1)=0,AA124&gt;=0,K124&lt;=AA124,L124&lt;=K124,MIN(P124:R124)&gt;=0,MOD(P124,1)=0,MOD(Q124,1)=0,MOD(R124,1)=0,P124&lt;=Z124,Q124&lt;=Z124,OR(S124="通过",S124="失败",S124="未完成"),OR(T124="通过",T124="失败",T124="未完成"),OR(AI124="新手",AI124="偶尔使用",AI124="经常使用"),COUNTIFS($A$7:$A$150,A124)=1)),"需核对数值或ID",IF(OR(AND(O124&lt;&gt;"完成",W124=""),AND(J124&gt;0,W124=""),AND(V124&lt;&gt;"一致",W124="")),"待说明原因",IF(V124&lt;&gt;"一致","条件偏差","纳入"))))))))</x:f>
        <x:v>待运行</x:v>
      </x:c>
      <x:c r="AF124" s="13" t="n">
        <x:f>IF(AE124&lt;&gt;"纳入",0,INDEX('配对比较'!$J$7:$J$42,MATCH(B124,'配对比较'!$A$7:$A$42,0)))</x:f>
        <x:v>0</x:v>
      </x:c>
      <x:c r="AG124" s="13" t="n">
        <x:f>IF(AE124&lt;&gt;"纳入",0,INDEX('配对比较'!$L$7:$L$42,MATCH(B124,'配对比较'!$A$7:$A$42,0)))</x:f>
        <x:v>0</x:v>
      </x:c>
      <x:c r="AH124" s="13" t="str">
        <x:f>IF(INDEX('特性清单'!$B$7:$B$18,MATCH(C124,'特性清单'!$A$7:$A$18,0))="","",IF(INDEX('特性清单'!$J$7:$J$18,MATCH(C124,'特性清单'!$A$7:$A$18,0))="","",INDEX('特性清单'!$J$7:$J$18,MATCH(C124,'特性清单'!$A$7:$A$18,0))))</x:f>
      </x:c>
      <x:c r="AI124" s="10"/>
      <x:c r="AJ124" s="13" t="n">
        <x:f>IF(AND(ISNUMBER(U124),U124&gt;=0),1,0)</x:f>
        <x:v>0</x:v>
      </x:c>
      <x:c r="AK124" s="13" t="str">
        <x:f>IF(AE124&lt;&gt;"纳入","",IF(OR(O124="超时",AA124&gt;AH124),1,0))</x:f>
      </x:c>
    </x:row>
    <x:row r="125" ht="25" customHeight="1">
      <x:c r="A125" s="13" t="str">
        <x:v>F10-R3-TR</x:v>
      </x:c>
      <x:c r="B125" s="13" t="str">
        <x:v>F10-R3</x:v>
      </x:c>
      <x:c r="C125" s="13" t="str">
        <x:v>F10</x:v>
      </x:c>
      <x:c r="D125" s="58" t="n">
        <x:v>3</x:v>
      </x:c>
      <x:c r="E125" s="13" t="str">
        <x:v>Trae</x:v>
      </x:c>
      <x:c r="F125" s="10"/>
      <x:c r="G125" s="56"/>
      <x:c r="H125" s="45"/>
      <x:c r="I125" s="45"/>
      <x:c r="J125" s="48"/>
      <x:c r="K125" s="48"/>
      <x:c r="L125" s="48"/>
      <x:c r="M125" s="56"/>
      <x:c r="N125" s="56"/>
      <x:c r="O125" s="10"/>
      <x:c r="P125" s="56"/>
      <x:c r="Q125" s="56"/>
      <x:c r="R125" s="56"/>
      <x:c r="S125" s="10"/>
      <x:c r="T125" s="10"/>
      <x:c r="U125" s="53"/>
      <x:c r="V125" s="10"/>
      <x:c r="W125" s="10"/>
      <x:c r="X125" s="10"/>
      <x:c r="Y125" s="10"/>
      <x:c r="Z125" s="13" t="str">
        <x:f>IF(INDEX('特性清单'!$B$7:$B$18,MATCH(C125,'特性清单'!$A$7:$A$18,0))="","",IF(INDEX('特性清单'!$H$7:$H$18,MATCH(C125,'特性清单'!$A$7:$A$18,0))="","",INDEX('特性清单'!$H$7:$H$18,MATCH(C125,'特性清单'!$A$7:$A$18,0))))</x:f>
      </x:c>
      <x:c r="AA125" s="50" t="str">
        <x:f>IF(AND(COUNT(H125:J125)=3,I125&gt;=H125,J125&gt;=0),ROUND((I125-H125)*1440-J125,2),"")</x:f>
      </x:c>
      <x:c r="AB125" s="51" t="str">
        <x:f>IF(AND(ISNUMBER(P125),ISNUMBER(Z125),Z125&gt;0,P125&gt;=0,P125&lt;=Z125),P125/Z125,"")</x:f>
      </x:c>
      <x:c r="AC125" s="51" t="str">
        <x:f>IF(AND(ISNUMBER(Q125),ISNUMBER(Z125),Z125&gt;0,Q125&gt;=0,Q125&lt;=Z125),Q125/Z125,"")</x:f>
      </x:c>
      <x:c r="AD125" s="13" t="str">
        <x:f>IF(AE125&lt;&gt;"纳入","",IF(AND(O125="完成",AC125=1,R125=0,S125="通过",T125="通过",AA125&lt;=AH125),1,0))</x:f>
      </x:c>
      <x:c r="AE125" s="13" t="str">
        <x:f>IF(O125="","待运行",IF(O125="进行中","进行中",IF(NOT(OR(O125="完成",O125="超时",O125="工具故障",O125="主动终止")),"需核对终态",IF(OR('试点设置'!$C$15&lt;&gt;"齐备",INDEX('特性清单'!$P$7:$P$18,MATCH(C125,'特性清单'!$A$7:$A$18,0))&lt;&gt;"齐备",D125&gt;INDEX('特性清单'!$K$7:$K$18,MATCH(C125,'特性清单'!$A$7:$A$18,0))),"待补齐试验设置",IF(NOT(AND(F125&lt;&gt;"",COUNT(G125:N125)=8,COUNT(P125:R125)=3,S125&lt;&gt;"",T125&lt;&gt;"",V125&lt;&gt;"",X125&lt;&gt;"",Y125&lt;&gt;"",AI125&lt;&gt;"")),"待补齐记录",IF(NOT(AND(G125&gt;=1,G125&lt;=4,MOD(G125,1)=0,I125&gt;=H125,MIN(J125:N125)&gt;=0,MOD(M125,1)=0,MOD(N125,1)=0,AA125&gt;=0,K125&lt;=AA125,L125&lt;=K125,MIN(P125:R125)&gt;=0,MOD(P125,1)=0,MOD(Q125,1)=0,MOD(R125,1)=0,P125&lt;=Z125,Q125&lt;=Z125,OR(S125="通过",S125="失败",S125="未完成"),OR(T125="通过",T125="失败",T125="未完成"),OR(AI125="新手",AI125="偶尔使用",AI125="经常使用"),COUNTIFS($A$7:$A$150,A125)=1)),"需核对数值或ID",IF(OR(AND(O125&lt;&gt;"完成",W125=""),AND(J125&gt;0,W125=""),AND(V125&lt;&gt;"一致",W125="")),"待说明原因",IF(V125&lt;&gt;"一致","条件偏差","纳入"))))))))</x:f>
        <x:v>待运行</x:v>
      </x:c>
      <x:c r="AF125" s="13" t="n">
        <x:f>IF(AE125&lt;&gt;"纳入",0,INDEX('配对比较'!$J$7:$J$42,MATCH(B125,'配对比较'!$A$7:$A$42,0)))</x:f>
        <x:v>0</x:v>
      </x:c>
      <x:c r="AG125" s="13" t="n">
        <x:f>IF(AE125&lt;&gt;"纳入",0,INDEX('配对比较'!$L$7:$L$42,MATCH(B125,'配对比较'!$A$7:$A$42,0)))</x:f>
        <x:v>0</x:v>
      </x:c>
      <x:c r="AH125" s="13" t="str">
        <x:f>IF(INDEX('特性清单'!$B$7:$B$18,MATCH(C125,'特性清单'!$A$7:$A$18,0))="","",IF(INDEX('特性清单'!$J$7:$J$18,MATCH(C125,'特性清单'!$A$7:$A$18,0))="","",INDEX('特性清单'!$J$7:$J$18,MATCH(C125,'特性清单'!$A$7:$A$18,0))))</x:f>
      </x:c>
      <x:c r="AI125" s="10"/>
      <x:c r="AJ125" s="13" t="n">
        <x:f>IF(AND(ISNUMBER(U125),U125&gt;=0),1,0)</x:f>
        <x:v>0</x:v>
      </x:c>
      <x:c r="AK125" s="13" t="str">
        <x:f>IF(AE125&lt;&gt;"纳入","",IF(OR(O125="超时",AA125&gt;AH125),1,0))</x:f>
      </x:c>
    </x:row>
    <x:row r="126" ht="25" customHeight="1">
      <x:c r="A126" s="13" t="str">
        <x:v>F10-R3-CA</x:v>
      </x:c>
      <x:c r="B126" s="13" t="str">
        <x:v>F10-R3</x:v>
      </x:c>
      <x:c r="C126" s="13" t="str">
        <x:v>F10</x:v>
      </x:c>
      <x:c r="D126" s="58" t="n">
        <x:v>3</x:v>
      </x:c>
      <x:c r="E126" s="13" t="str">
        <x:v>CodeArts</x:v>
      </x:c>
      <x:c r="F126" s="10"/>
      <x:c r="G126" s="56"/>
      <x:c r="H126" s="45"/>
      <x:c r="I126" s="45"/>
      <x:c r="J126" s="48"/>
      <x:c r="K126" s="48"/>
      <x:c r="L126" s="48"/>
      <x:c r="M126" s="56"/>
      <x:c r="N126" s="56"/>
      <x:c r="O126" s="10"/>
      <x:c r="P126" s="56"/>
      <x:c r="Q126" s="56"/>
      <x:c r="R126" s="56"/>
      <x:c r="S126" s="10"/>
      <x:c r="T126" s="10"/>
      <x:c r="U126" s="53"/>
      <x:c r="V126" s="10"/>
      <x:c r="W126" s="10"/>
      <x:c r="X126" s="10"/>
      <x:c r="Y126" s="10"/>
      <x:c r="Z126" s="13" t="str">
        <x:f>IF(INDEX('特性清单'!$B$7:$B$18,MATCH(C126,'特性清单'!$A$7:$A$18,0))="","",IF(INDEX('特性清单'!$H$7:$H$18,MATCH(C126,'特性清单'!$A$7:$A$18,0))="","",INDEX('特性清单'!$H$7:$H$18,MATCH(C126,'特性清单'!$A$7:$A$18,0))))</x:f>
      </x:c>
      <x:c r="AA126" s="50" t="str">
        <x:f>IF(AND(COUNT(H126:J126)=3,I126&gt;=H126,J126&gt;=0),ROUND((I126-H126)*1440-J126,2),"")</x:f>
      </x:c>
      <x:c r="AB126" s="51" t="str">
        <x:f>IF(AND(ISNUMBER(P126),ISNUMBER(Z126),Z126&gt;0,P126&gt;=0,P126&lt;=Z126),P126/Z126,"")</x:f>
      </x:c>
      <x:c r="AC126" s="51" t="str">
        <x:f>IF(AND(ISNUMBER(Q126),ISNUMBER(Z126),Z126&gt;0,Q126&gt;=0,Q126&lt;=Z126),Q126/Z126,"")</x:f>
      </x:c>
      <x:c r="AD126" s="13" t="str">
        <x:f>IF(AE126&lt;&gt;"纳入","",IF(AND(O126="完成",AC126=1,R126=0,S126="通过",T126="通过",AA126&lt;=AH126),1,0))</x:f>
      </x:c>
      <x:c r="AE126" s="13" t="str">
        <x:f>IF(O126="","待运行",IF(O126="进行中","进行中",IF(NOT(OR(O126="完成",O126="超时",O126="工具故障",O126="主动终止")),"需核对终态",IF(OR('试点设置'!$C$15&lt;&gt;"齐备",INDEX('特性清单'!$P$7:$P$18,MATCH(C126,'特性清单'!$A$7:$A$18,0))&lt;&gt;"齐备",D126&gt;INDEX('特性清单'!$K$7:$K$18,MATCH(C126,'特性清单'!$A$7:$A$18,0))),"待补齐试验设置",IF(NOT(AND(F126&lt;&gt;"",COUNT(G126:N126)=8,COUNT(P126:R126)=3,S126&lt;&gt;"",T126&lt;&gt;"",V126&lt;&gt;"",X126&lt;&gt;"",Y126&lt;&gt;"",AI126&lt;&gt;"")),"待补齐记录",IF(NOT(AND(G126&gt;=1,G126&lt;=4,MOD(G126,1)=0,I126&gt;=H126,MIN(J126:N126)&gt;=0,MOD(M126,1)=0,MOD(N126,1)=0,AA126&gt;=0,K126&lt;=AA126,L126&lt;=K126,MIN(P126:R126)&gt;=0,MOD(P126,1)=0,MOD(Q126,1)=0,MOD(R126,1)=0,P126&lt;=Z126,Q126&lt;=Z126,OR(S126="通过",S126="失败",S126="未完成"),OR(T126="通过",T126="失败",T126="未完成"),OR(AI126="新手",AI126="偶尔使用",AI126="经常使用"),COUNTIFS($A$7:$A$150,A126)=1)),"需核对数值或ID",IF(OR(AND(O126&lt;&gt;"完成",W126=""),AND(J126&gt;0,W126=""),AND(V126&lt;&gt;"一致",W126="")),"待说明原因",IF(V126&lt;&gt;"一致","条件偏差","纳入"))))))))</x:f>
        <x:v>待运行</x:v>
      </x:c>
      <x:c r="AF126" s="13" t="n">
        <x:f>IF(AE126&lt;&gt;"纳入",0,INDEX('配对比较'!$J$7:$J$42,MATCH(B126,'配对比较'!$A$7:$A$42,0)))</x:f>
        <x:v>0</x:v>
      </x:c>
      <x:c r="AG126" s="13" t="n">
        <x:f>IF(AE126&lt;&gt;"纳入",0,INDEX('配对比较'!$L$7:$L$42,MATCH(B126,'配对比较'!$A$7:$A$42,0)))</x:f>
        <x:v>0</x:v>
      </x:c>
      <x:c r="AH126" s="13" t="str">
        <x:f>IF(INDEX('特性清单'!$B$7:$B$18,MATCH(C126,'特性清单'!$A$7:$A$18,0))="","",IF(INDEX('特性清单'!$J$7:$J$18,MATCH(C126,'特性清单'!$A$7:$A$18,0))="","",INDEX('特性清单'!$J$7:$J$18,MATCH(C126,'特性清单'!$A$7:$A$18,0))))</x:f>
      </x:c>
      <x:c r="AI126" s="10"/>
      <x:c r="AJ126" s="13" t="n">
        <x:f>IF(AND(ISNUMBER(U126),U126&gt;=0),1,0)</x:f>
        <x:v>0</x:v>
      </x:c>
      <x:c r="AK126" s="13" t="str">
        <x:f>IF(AE126&lt;&gt;"纳入","",IF(OR(O126="超时",AA126&gt;AH126),1,0))</x:f>
      </x:c>
    </x:row>
    <x:row r="127" ht="25" customHeight="1">
      <x:c r="A127" s="13" t="str">
        <x:v>F11-R1-CC</x:v>
      </x:c>
      <x:c r="B127" s="13" t="str">
        <x:v>F11-R1</x:v>
      </x:c>
      <x:c r="C127" s="13" t="str">
        <x:v>F11</x:v>
      </x:c>
      <x:c r="D127" s="58" t="n">
        <x:v>1</x:v>
      </x:c>
      <x:c r="E127" s="13" t="str">
        <x:v>Claude Code</x:v>
      </x:c>
      <x:c r="F127" s="10"/>
      <x:c r="G127" s="56"/>
      <x:c r="H127" s="45"/>
      <x:c r="I127" s="45"/>
      <x:c r="J127" s="48"/>
      <x:c r="K127" s="48"/>
      <x:c r="L127" s="48"/>
      <x:c r="M127" s="56"/>
      <x:c r="N127" s="56"/>
      <x:c r="O127" s="10"/>
      <x:c r="P127" s="56"/>
      <x:c r="Q127" s="56"/>
      <x:c r="R127" s="56"/>
      <x:c r="S127" s="10"/>
      <x:c r="T127" s="10"/>
      <x:c r="U127" s="53"/>
      <x:c r="V127" s="10"/>
      <x:c r="W127" s="10"/>
      <x:c r="X127" s="10"/>
      <x:c r="Y127" s="10"/>
      <x:c r="Z127" s="13" t="str">
        <x:f>IF(INDEX('特性清单'!$B$7:$B$18,MATCH(C127,'特性清单'!$A$7:$A$18,0))="","",IF(INDEX('特性清单'!$H$7:$H$18,MATCH(C127,'特性清单'!$A$7:$A$18,0))="","",INDEX('特性清单'!$H$7:$H$18,MATCH(C127,'特性清单'!$A$7:$A$18,0))))</x:f>
      </x:c>
      <x:c r="AA127" s="50" t="str">
        <x:f>IF(AND(COUNT(H127:J127)=3,I127&gt;=H127,J127&gt;=0),ROUND((I127-H127)*1440-J127,2),"")</x:f>
      </x:c>
      <x:c r="AB127" s="51" t="str">
        <x:f>IF(AND(ISNUMBER(P127),ISNUMBER(Z127),Z127&gt;0,P127&gt;=0,P127&lt;=Z127),P127/Z127,"")</x:f>
      </x:c>
      <x:c r="AC127" s="51" t="str">
        <x:f>IF(AND(ISNUMBER(Q127),ISNUMBER(Z127),Z127&gt;0,Q127&gt;=0,Q127&lt;=Z127),Q127/Z127,"")</x:f>
      </x:c>
      <x:c r="AD127" s="13" t="str">
        <x:f>IF(AE127&lt;&gt;"纳入","",IF(AND(O127="完成",AC127=1,R127=0,S127="通过",T127="通过",AA127&lt;=AH127),1,0))</x:f>
      </x:c>
      <x:c r="AE127" s="13" t="str">
        <x:f>IF(O127="","待运行",IF(O127="进行中","进行中",IF(NOT(OR(O127="完成",O127="超时",O127="工具故障",O127="主动终止")),"需核对终态",IF(OR('试点设置'!$C$15&lt;&gt;"齐备",INDEX('特性清单'!$P$7:$P$18,MATCH(C127,'特性清单'!$A$7:$A$18,0))&lt;&gt;"齐备",D127&gt;INDEX('特性清单'!$K$7:$K$18,MATCH(C127,'特性清单'!$A$7:$A$18,0))),"待补齐试验设置",IF(NOT(AND(F127&lt;&gt;"",COUNT(G127:N127)=8,COUNT(P127:R127)=3,S127&lt;&gt;"",T127&lt;&gt;"",V127&lt;&gt;"",X127&lt;&gt;"",Y127&lt;&gt;"",AI127&lt;&gt;"")),"待补齐记录",IF(NOT(AND(G127&gt;=1,G127&lt;=4,MOD(G127,1)=0,I127&gt;=H127,MIN(J127:N127)&gt;=0,MOD(M127,1)=0,MOD(N127,1)=0,AA127&gt;=0,K127&lt;=AA127,L127&lt;=K127,MIN(P127:R127)&gt;=0,MOD(P127,1)=0,MOD(Q127,1)=0,MOD(R127,1)=0,P127&lt;=Z127,Q127&lt;=Z127,OR(S127="通过",S127="失败",S127="未完成"),OR(T127="通过",T127="失败",T127="未完成"),OR(AI127="新手",AI127="偶尔使用",AI127="经常使用"),COUNTIFS($A$7:$A$150,A127)=1)),"需核对数值或ID",IF(OR(AND(O127&lt;&gt;"完成",W127=""),AND(J127&gt;0,W127=""),AND(V127&lt;&gt;"一致",W127="")),"待说明原因",IF(V127&lt;&gt;"一致","条件偏差","纳入"))))))))</x:f>
        <x:v>待运行</x:v>
      </x:c>
      <x:c r="AF127" s="13" t="n">
        <x:f>IF(AE127&lt;&gt;"纳入",0,INDEX('配对比较'!$J$7:$J$42,MATCH(B127,'配对比较'!$A$7:$A$42,0)))</x:f>
        <x:v>0</x:v>
      </x:c>
      <x:c r="AG127" s="13" t="n">
        <x:f>IF(AE127&lt;&gt;"纳入",0,INDEX('配对比较'!$L$7:$L$42,MATCH(B127,'配对比较'!$A$7:$A$42,0)))</x:f>
        <x:v>0</x:v>
      </x:c>
      <x:c r="AH127" s="13" t="str">
        <x:f>IF(INDEX('特性清单'!$B$7:$B$18,MATCH(C127,'特性清单'!$A$7:$A$18,0))="","",IF(INDEX('特性清单'!$J$7:$J$18,MATCH(C127,'特性清单'!$A$7:$A$18,0))="","",INDEX('特性清单'!$J$7:$J$18,MATCH(C127,'特性清单'!$A$7:$A$18,0))))</x:f>
      </x:c>
      <x:c r="AI127" s="10"/>
      <x:c r="AJ127" s="13" t="n">
        <x:f>IF(AND(ISNUMBER(U127),U127&gt;=0),1,0)</x:f>
        <x:v>0</x:v>
      </x:c>
      <x:c r="AK127" s="13" t="str">
        <x:f>IF(AE127&lt;&gt;"纳入","",IF(OR(O127="超时",AA127&gt;AH127),1,0))</x:f>
      </x:c>
    </x:row>
    <x:row r="128" ht="25" customHeight="1">
      <x:c r="A128" s="13" t="str">
        <x:v>F11-R1-CX</x:v>
      </x:c>
      <x:c r="B128" s="13" t="str">
        <x:v>F11-R1</x:v>
      </x:c>
      <x:c r="C128" s="13" t="str">
        <x:v>F11</x:v>
      </x:c>
      <x:c r="D128" s="58" t="n">
        <x:v>1</x:v>
      </x:c>
      <x:c r="E128" s="13" t="str">
        <x:v>Codex</x:v>
      </x:c>
      <x:c r="F128" s="10"/>
      <x:c r="G128" s="56"/>
      <x:c r="H128" s="45"/>
      <x:c r="I128" s="45"/>
      <x:c r="J128" s="48"/>
      <x:c r="K128" s="48"/>
      <x:c r="L128" s="48"/>
      <x:c r="M128" s="56"/>
      <x:c r="N128" s="56"/>
      <x:c r="O128" s="10"/>
      <x:c r="P128" s="56"/>
      <x:c r="Q128" s="56"/>
      <x:c r="R128" s="56"/>
      <x:c r="S128" s="10"/>
      <x:c r="T128" s="10"/>
      <x:c r="U128" s="53"/>
      <x:c r="V128" s="10"/>
      <x:c r="W128" s="10"/>
      <x:c r="X128" s="10"/>
      <x:c r="Y128" s="10"/>
      <x:c r="Z128" s="13" t="str">
        <x:f>IF(INDEX('特性清单'!$B$7:$B$18,MATCH(C128,'特性清单'!$A$7:$A$18,0))="","",IF(INDEX('特性清单'!$H$7:$H$18,MATCH(C128,'特性清单'!$A$7:$A$18,0))="","",INDEX('特性清单'!$H$7:$H$18,MATCH(C128,'特性清单'!$A$7:$A$18,0))))</x:f>
      </x:c>
      <x:c r="AA128" s="50" t="str">
        <x:f>IF(AND(COUNT(H128:J128)=3,I128&gt;=H128,J128&gt;=0),ROUND((I128-H128)*1440-J128,2),"")</x:f>
      </x:c>
      <x:c r="AB128" s="51" t="str">
        <x:f>IF(AND(ISNUMBER(P128),ISNUMBER(Z128),Z128&gt;0,P128&gt;=0,P128&lt;=Z128),P128/Z128,"")</x:f>
      </x:c>
      <x:c r="AC128" s="51" t="str">
        <x:f>IF(AND(ISNUMBER(Q128),ISNUMBER(Z128),Z128&gt;0,Q128&gt;=0,Q128&lt;=Z128),Q128/Z128,"")</x:f>
      </x:c>
      <x:c r="AD128" s="13" t="str">
        <x:f>IF(AE128&lt;&gt;"纳入","",IF(AND(O128="完成",AC128=1,R128=0,S128="通过",T128="通过",AA128&lt;=AH128),1,0))</x:f>
      </x:c>
      <x:c r="AE128" s="13" t="str">
        <x:f>IF(O128="","待运行",IF(O128="进行中","进行中",IF(NOT(OR(O128="完成",O128="超时",O128="工具故障",O128="主动终止")),"需核对终态",IF(OR('试点设置'!$C$15&lt;&gt;"齐备",INDEX('特性清单'!$P$7:$P$18,MATCH(C128,'特性清单'!$A$7:$A$18,0))&lt;&gt;"齐备",D128&gt;INDEX('特性清单'!$K$7:$K$18,MATCH(C128,'特性清单'!$A$7:$A$18,0))),"待补齐试验设置",IF(NOT(AND(F128&lt;&gt;"",COUNT(G128:N128)=8,COUNT(P128:R128)=3,S128&lt;&gt;"",T128&lt;&gt;"",V128&lt;&gt;"",X128&lt;&gt;"",Y128&lt;&gt;"",AI128&lt;&gt;"")),"待补齐记录",IF(NOT(AND(G128&gt;=1,G128&lt;=4,MOD(G128,1)=0,I128&gt;=H128,MIN(J128:N128)&gt;=0,MOD(M128,1)=0,MOD(N128,1)=0,AA128&gt;=0,K128&lt;=AA128,L128&lt;=K128,MIN(P128:R128)&gt;=0,MOD(P128,1)=0,MOD(Q128,1)=0,MOD(R128,1)=0,P128&lt;=Z128,Q128&lt;=Z128,OR(S128="通过",S128="失败",S128="未完成"),OR(T128="通过",T128="失败",T128="未完成"),OR(AI128="新手",AI128="偶尔使用",AI128="经常使用"),COUNTIFS($A$7:$A$150,A128)=1)),"需核对数值或ID",IF(OR(AND(O128&lt;&gt;"完成",W128=""),AND(J128&gt;0,W128=""),AND(V128&lt;&gt;"一致",W128="")),"待说明原因",IF(V128&lt;&gt;"一致","条件偏差","纳入"))))))))</x:f>
        <x:v>待运行</x:v>
      </x:c>
      <x:c r="AF128" s="13" t="n">
        <x:f>IF(AE128&lt;&gt;"纳入",0,INDEX('配对比较'!$J$7:$J$42,MATCH(B128,'配对比较'!$A$7:$A$42,0)))</x:f>
        <x:v>0</x:v>
      </x:c>
      <x:c r="AG128" s="13" t="n">
        <x:f>IF(AE128&lt;&gt;"纳入",0,INDEX('配对比较'!$L$7:$L$42,MATCH(B128,'配对比较'!$A$7:$A$42,0)))</x:f>
        <x:v>0</x:v>
      </x:c>
      <x:c r="AH128" s="13" t="str">
        <x:f>IF(INDEX('特性清单'!$B$7:$B$18,MATCH(C128,'特性清单'!$A$7:$A$18,0))="","",IF(INDEX('特性清单'!$J$7:$J$18,MATCH(C128,'特性清单'!$A$7:$A$18,0))="","",INDEX('特性清单'!$J$7:$J$18,MATCH(C128,'特性清单'!$A$7:$A$18,0))))</x:f>
      </x:c>
      <x:c r="AI128" s="10"/>
      <x:c r="AJ128" s="13" t="n">
        <x:f>IF(AND(ISNUMBER(U128),U128&gt;=0),1,0)</x:f>
        <x:v>0</x:v>
      </x:c>
      <x:c r="AK128" s="13" t="str">
        <x:f>IF(AE128&lt;&gt;"纳入","",IF(OR(O128="超时",AA128&gt;AH128),1,0))</x:f>
      </x:c>
    </x:row>
    <x:row r="129" ht="25" customHeight="1">
      <x:c r="A129" s="13" t="str">
        <x:v>F11-R1-TR</x:v>
      </x:c>
      <x:c r="B129" s="13" t="str">
        <x:v>F11-R1</x:v>
      </x:c>
      <x:c r="C129" s="13" t="str">
        <x:v>F11</x:v>
      </x:c>
      <x:c r="D129" s="58" t="n">
        <x:v>1</x:v>
      </x:c>
      <x:c r="E129" s="13" t="str">
        <x:v>Trae</x:v>
      </x:c>
      <x:c r="F129" s="10"/>
      <x:c r="G129" s="56"/>
      <x:c r="H129" s="45"/>
      <x:c r="I129" s="45"/>
      <x:c r="J129" s="48"/>
      <x:c r="K129" s="48"/>
      <x:c r="L129" s="48"/>
      <x:c r="M129" s="56"/>
      <x:c r="N129" s="56"/>
      <x:c r="O129" s="10"/>
      <x:c r="P129" s="56"/>
      <x:c r="Q129" s="56"/>
      <x:c r="R129" s="56"/>
      <x:c r="S129" s="10"/>
      <x:c r="T129" s="10"/>
      <x:c r="U129" s="53"/>
      <x:c r="V129" s="10"/>
      <x:c r="W129" s="10"/>
      <x:c r="X129" s="10"/>
      <x:c r="Y129" s="10"/>
      <x:c r="Z129" s="13" t="str">
        <x:f>IF(INDEX('特性清单'!$B$7:$B$18,MATCH(C129,'特性清单'!$A$7:$A$18,0))="","",IF(INDEX('特性清单'!$H$7:$H$18,MATCH(C129,'特性清单'!$A$7:$A$18,0))="","",INDEX('特性清单'!$H$7:$H$18,MATCH(C129,'特性清单'!$A$7:$A$18,0))))</x:f>
      </x:c>
      <x:c r="AA129" s="50" t="str">
        <x:f>IF(AND(COUNT(H129:J129)=3,I129&gt;=H129,J129&gt;=0),ROUND((I129-H129)*1440-J129,2),"")</x:f>
      </x:c>
      <x:c r="AB129" s="51" t="str">
        <x:f>IF(AND(ISNUMBER(P129),ISNUMBER(Z129),Z129&gt;0,P129&gt;=0,P129&lt;=Z129),P129/Z129,"")</x:f>
      </x:c>
      <x:c r="AC129" s="51" t="str">
        <x:f>IF(AND(ISNUMBER(Q129),ISNUMBER(Z129),Z129&gt;0,Q129&gt;=0,Q129&lt;=Z129),Q129/Z129,"")</x:f>
      </x:c>
      <x:c r="AD129" s="13" t="str">
        <x:f>IF(AE129&lt;&gt;"纳入","",IF(AND(O129="完成",AC129=1,R129=0,S129="通过",T129="通过",AA129&lt;=AH129),1,0))</x:f>
      </x:c>
      <x:c r="AE129" s="13" t="str">
        <x:f>IF(O129="","待运行",IF(O129="进行中","进行中",IF(NOT(OR(O129="完成",O129="超时",O129="工具故障",O129="主动终止")),"需核对终态",IF(OR('试点设置'!$C$15&lt;&gt;"齐备",INDEX('特性清单'!$P$7:$P$18,MATCH(C129,'特性清单'!$A$7:$A$18,0))&lt;&gt;"齐备",D129&gt;INDEX('特性清单'!$K$7:$K$18,MATCH(C129,'特性清单'!$A$7:$A$18,0))),"待补齐试验设置",IF(NOT(AND(F129&lt;&gt;"",COUNT(G129:N129)=8,COUNT(P129:R129)=3,S129&lt;&gt;"",T129&lt;&gt;"",V129&lt;&gt;"",X129&lt;&gt;"",Y129&lt;&gt;"",AI129&lt;&gt;"")),"待补齐记录",IF(NOT(AND(G129&gt;=1,G129&lt;=4,MOD(G129,1)=0,I129&gt;=H129,MIN(J129:N129)&gt;=0,MOD(M129,1)=0,MOD(N129,1)=0,AA129&gt;=0,K129&lt;=AA129,L129&lt;=K129,MIN(P129:R129)&gt;=0,MOD(P129,1)=0,MOD(Q129,1)=0,MOD(R129,1)=0,P129&lt;=Z129,Q129&lt;=Z129,OR(S129="通过",S129="失败",S129="未完成"),OR(T129="通过",T129="失败",T129="未完成"),OR(AI129="新手",AI129="偶尔使用",AI129="经常使用"),COUNTIFS($A$7:$A$150,A129)=1)),"需核对数值或ID",IF(OR(AND(O129&lt;&gt;"完成",W129=""),AND(J129&gt;0,W129=""),AND(V129&lt;&gt;"一致",W129="")),"待说明原因",IF(V129&lt;&gt;"一致","条件偏差","纳入"))))))))</x:f>
        <x:v>待运行</x:v>
      </x:c>
      <x:c r="AF129" s="13" t="n">
        <x:f>IF(AE129&lt;&gt;"纳入",0,INDEX('配对比较'!$J$7:$J$42,MATCH(B129,'配对比较'!$A$7:$A$42,0)))</x:f>
        <x:v>0</x:v>
      </x:c>
      <x:c r="AG129" s="13" t="n">
        <x:f>IF(AE129&lt;&gt;"纳入",0,INDEX('配对比较'!$L$7:$L$42,MATCH(B129,'配对比较'!$A$7:$A$42,0)))</x:f>
        <x:v>0</x:v>
      </x:c>
      <x:c r="AH129" s="13" t="str">
        <x:f>IF(INDEX('特性清单'!$B$7:$B$18,MATCH(C129,'特性清单'!$A$7:$A$18,0))="","",IF(INDEX('特性清单'!$J$7:$J$18,MATCH(C129,'特性清单'!$A$7:$A$18,0))="","",INDEX('特性清单'!$J$7:$J$18,MATCH(C129,'特性清单'!$A$7:$A$18,0))))</x:f>
      </x:c>
      <x:c r="AI129" s="10"/>
      <x:c r="AJ129" s="13" t="n">
        <x:f>IF(AND(ISNUMBER(U129),U129&gt;=0),1,0)</x:f>
        <x:v>0</x:v>
      </x:c>
      <x:c r="AK129" s="13" t="str">
        <x:f>IF(AE129&lt;&gt;"纳入","",IF(OR(O129="超时",AA129&gt;AH129),1,0))</x:f>
      </x:c>
    </x:row>
    <x:row r="130" ht="25" customHeight="1">
      <x:c r="A130" s="13" t="str">
        <x:v>F11-R1-CA</x:v>
      </x:c>
      <x:c r="B130" s="13" t="str">
        <x:v>F11-R1</x:v>
      </x:c>
      <x:c r="C130" s="13" t="str">
        <x:v>F11</x:v>
      </x:c>
      <x:c r="D130" s="58" t="n">
        <x:v>1</x:v>
      </x:c>
      <x:c r="E130" s="13" t="str">
        <x:v>CodeArts</x:v>
      </x:c>
      <x:c r="F130" s="10"/>
      <x:c r="G130" s="56"/>
      <x:c r="H130" s="45"/>
      <x:c r="I130" s="45"/>
      <x:c r="J130" s="48"/>
      <x:c r="K130" s="48"/>
      <x:c r="L130" s="48"/>
      <x:c r="M130" s="56"/>
      <x:c r="N130" s="56"/>
      <x:c r="O130" s="10"/>
      <x:c r="P130" s="56"/>
      <x:c r="Q130" s="56"/>
      <x:c r="R130" s="56"/>
      <x:c r="S130" s="10"/>
      <x:c r="T130" s="10"/>
      <x:c r="U130" s="53"/>
      <x:c r="V130" s="10"/>
      <x:c r="W130" s="10"/>
      <x:c r="X130" s="10"/>
      <x:c r="Y130" s="10"/>
      <x:c r="Z130" s="13" t="str">
        <x:f>IF(INDEX('特性清单'!$B$7:$B$18,MATCH(C130,'特性清单'!$A$7:$A$18,0))="","",IF(INDEX('特性清单'!$H$7:$H$18,MATCH(C130,'特性清单'!$A$7:$A$18,0))="","",INDEX('特性清单'!$H$7:$H$18,MATCH(C130,'特性清单'!$A$7:$A$18,0))))</x:f>
      </x:c>
      <x:c r="AA130" s="50" t="str">
        <x:f>IF(AND(COUNT(H130:J130)=3,I130&gt;=H130,J130&gt;=0),ROUND((I130-H130)*1440-J130,2),"")</x:f>
      </x:c>
      <x:c r="AB130" s="51" t="str">
        <x:f>IF(AND(ISNUMBER(P130),ISNUMBER(Z130),Z130&gt;0,P130&gt;=0,P130&lt;=Z130),P130/Z130,"")</x:f>
      </x:c>
      <x:c r="AC130" s="51" t="str">
        <x:f>IF(AND(ISNUMBER(Q130),ISNUMBER(Z130),Z130&gt;0,Q130&gt;=0,Q130&lt;=Z130),Q130/Z130,"")</x:f>
      </x:c>
      <x:c r="AD130" s="13" t="str">
        <x:f>IF(AE130&lt;&gt;"纳入","",IF(AND(O130="完成",AC130=1,R130=0,S130="通过",T130="通过",AA130&lt;=AH130),1,0))</x:f>
      </x:c>
      <x:c r="AE130" s="13" t="str">
        <x:f>IF(O130="","待运行",IF(O130="进行中","进行中",IF(NOT(OR(O130="完成",O130="超时",O130="工具故障",O130="主动终止")),"需核对终态",IF(OR('试点设置'!$C$15&lt;&gt;"齐备",INDEX('特性清单'!$P$7:$P$18,MATCH(C130,'特性清单'!$A$7:$A$18,0))&lt;&gt;"齐备",D130&gt;INDEX('特性清单'!$K$7:$K$18,MATCH(C130,'特性清单'!$A$7:$A$18,0))),"待补齐试验设置",IF(NOT(AND(F130&lt;&gt;"",COUNT(G130:N130)=8,COUNT(P130:R130)=3,S130&lt;&gt;"",T130&lt;&gt;"",V130&lt;&gt;"",X130&lt;&gt;"",Y130&lt;&gt;"",AI130&lt;&gt;"")),"待补齐记录",IF(NOT(AND(G130&gt;=1,G130&lt;=4,MOD(G130,1)=0,I130&gt;=H130,MIN(J130:N130)&gt;=0,MOD(M130,1)=0,MOD(N130,1)=0,AA130&gt;=0,K130&lt;=AA130,L130&lt;=K130,MIN(P130:R130)&gt;=0,MOD(P130,1)=0,MOD(Q130,1)=0,MOD(R130,1)=0,P130&lt;=Z130,Q130&lt;=Z130,OR(S130="通过",S130="失败",S130="未完成"),OR(T130="通过",T130="失败",T130="未完成"),OR(AI130="新手",AI130="偶尔使用",AI130="经常使用"),COUNTIFS($A$7:$A$150,A130)=1)),"需核对数值或ID",IF(OR(AND(O130&lt;&gt;"完成",W130=""),AND(J130&gt;0,W130=""),AND(V130&lt;&gt;"一致",W130="")),"待说明原因",IF(V130&lt;&gt;"一致","条件偏差","纳入"))))))))</x:f>
        <x:v>待运行</x:v>
      </x:c>
      <x:c r="AF130" s="13" t="n">
        <x:f>IF(AE130&lt;&gt;"纳入",0,INDEX('配对比较'!$J$7:$J$42,MATCH(B130,'配对比较'!$A$7:$A$42,0)))</x:f>
        <x:v>0</x:v>
      </x:c>
      <x:c r="AG130" s="13" t="n">
        <x:f>IF(AE130&lt;&gt;"纳入",0,INDEX('配对比较'!$L$7:$L$42,MATCH(B130,'配对比较'!$A$7:$A$42,0)))</x:f>
        <x:v>0</x:v>
      </x:c>
      <x:c r="AH130" s="13" t="str">
        <x:f>IF(INDEX('特性清单'!$B$7:$B$18,MATCH(C130,'特性清单'!$A$7:$A$18,0))="","",IF(INDEX('特性清单'!$J$7:$J$18,MATCH(C130,'特性清单'!$A$7:$A$18,0))="","",INDEX('特性清单'!$J$7:$J$18,MATCH(C130,'特性清单'!$A$7:$A$18,0))))</x:f>
      </x:c>
      <x:c r="AI130" s="10"/>
      <x:c r="AJ130" s="13" t="n">
        <x:f>IF(AND(ISNUMBER(U130),U130&gt;=0),1,0)</x:f>
        <x:v>0</x:v>
      </x:c>
      <x:c r="AK130" s="13" t="str">
        <x:f>IF(AE130&lt;&gt;"纳入","",IF(OR(O130="超时",AA130&gt;AH130),1,0))</x:f>
      </x:c>
    </x:row>
    <x:row r="131" ht="25" customHeight="1">
      <x:c r="A131" s="13" t="str">
        <x:v>F11-R2-CC</x:v>
      </x:c>
      <x:c r="B131" s="13" t="str">
        <x:v>F11-R2</x:v>
      </x:c>
      <x:c r="C131" s="13" t="str">
        <x:v>F11</x:v>
      </x:c>
      <x:c r="D131" s="58" t="n">
        <x:v>2</x:v>
      </x:c>
      <x:c r="E131" s="13" t="str">
        <x:v>Claude Code</x:v>
      </x:c>
      <x:c r="F131" s="10"/>
      <x:c r="G131" s="56"/>
      <x:c r="H131" s="45"/>
      <x:c r="I131" s="45"/>
      <x:c r="J131" s="48"/>
      <x:c r="K131" s="48"/>
      <x:c r="L131" s="48"/>
      <x:c r="M131" s="56"/>
      <x:c r="N131" s="56"/>
      <x:c r="O131" s="10"/>
      <x:c r="P131" s="56"/>
      <x:c r="Q131" s="56"/>
      <x:c r="R131" s="56"/>
      <x:c r="S131" s="10"/>
      <x:c r="T131" s="10"/>
      <x:c r="U131" s="53"/>
      <x:c r="V131" s="10"/>
      <x:c r="W131" s="10"/>
      <x:c r="X131" s="10"/>
      <x:c r="Y131" s="10"/>
      <x:c r="Z131" s="13" t="str">
        <x:f>IF(INDEX('特性清单'!$B$7:$B$18,MATCH(C131,'特性清单'!$A$7:$A$18,0))="","",IF(INDEX('特性清单'!$H$7:$H$18,MATCH(C131,'特性清单'!$A$7:$A$18,0))="","",INDEX('特性清单'!$H$7:$H$18,MATCH(C131,'特性清单'!$A$7:$A$18,0))))</x:f>
      </x:c>
      <x:c r="AA131" s="50" t="str">
        <x:f>IF(AND(COUNT(H131:J131)=3,I131&gt;=H131,J131&gt;=0),ROUND((I131-H131)*1440-J131,2),"")</x:f>
      </x:c>
      <x:c r="AB131" s="51" t="str">
        <x:f>IF(AND(ISNUMBER(P131),ISNUMBER(Z131),Z131&gt;0,P131&gt;=0,P131&lt;=Z131),P131/Z131,"")</x:f>
      </x:c>
      <x:c r="AC131" s="51" t="str">
        <x:f>IF(AND(ISNUMBER(Q131),ISNUMBER(Z131),Z131&gt;0,Q131&gt;=0,Q131&lt;=Z131),Q131/Z131,"")</x:f>
      </x:c>
      <x:c r="AD131" s="13" t="str">
        <x:f>IF(AE131&lt;&gt;"纳入","",IF(AND(O131="完成",AC131=1,R131=0,S131="通过",T131="通过",AA131&lt;=AH131),1,0))</x:f>
      </x:c>
      <x:c r="AE131" s="13" t="str">
        <x:f>IF(O131="","待运行",IF(O131="进行中","进行中",IF(NOT(OR(O131="完成",O131="超时",O131="工具故障",O131="主动终止")),"需核对终态",IF(OR('试点设置'!$C$15&lt;&gt;"齐备",INDEX('特性清单'!$P$7:$P$18,MATCH(C131,'特性清单'!$A$7:$A$18,0))&lt;&gt;"齐备",D131&gt;INDEX('特性清单'!$K$7:$K$18,MATCH(C131,'特性清单'!$A$7:$A$18,0))),"待补齐试验设置",IF(NOT(AND(F131&lt;&gt;"",COUNT(G131:N131)=8,COUNT(P131:R131)=3,S131&lt;&gt;"",T131&lt;&gt;"",V131&lt;&gt;"",X131&lt;&gt;"",Y131&lt;&gt;"",AI131&lt;&gt;"")),"待补齐记录",IF(NOT(AND(G131&gt;=1,G131&lt;=4,MOD(G131,1)=0,I131&gt;=H131,MIN(J131:N131)&gt;=0,MOD(M131,1)=0,MOD(N131,1)=0,AA131&gt;=0,K131&lt;=AA131,L131&lt;=K131,MIN(P131:R131)&gt;=0,MOD(P131,1)=0,MOD(Q131,1)=0,MOD(R131,1)=0,P131&lt;=Z131,Q131&lt;=Z131,OR(S131="通过",S131="失败",S131="未完成"),OR(T131="通过",T131="失败",T131="未完成"),OR(AI131="新手",AI131="偶尔使用",AI131="经常使用"),COUNTIFS($A$7:$A$150,A131)=1)),"需核对数值或ID",IF(OR(AND(O131&lt;&gt;"完成",W131=""),AND(J131&gt;0,W131=""),AND(V131&lt;&gt;"一致",W131="")),"待说明原因",IF(V131&lt;&gt;"一致","条件偏差","纳入"))))))))</x:f>
        <x:v>待运行</x:v>
      </x:c>
      <x:c r="AF131" s="13" t="n">
        <x:f>IF(AE131&lt;&gt;"纳入",0,INDEX('配对比较'!$J$7:$J$42,MATCH(B131,'配对比较'!$A$7:$A$42,0)))</x:f>
        <x:v>0</x:v>
      </x:c>
      <x:c r="AG131" s="13" t="n">
        <x:f>IF(AE131&lt;&gt;"纳入",0,INDEX('配对比较'!$L$7:$L$42,MATCH(B131,'配对比较'!$A$7:$A$42,0)))</x:f>
        <x:v>0</x:v>
      </x:c>
      <x:c r="AH131" s="13" t="str">
        <x:f>IF(INDEX('特性清单'!$B$7:$B$18,MATCH(C131,'特性清单'!$A$7:$A$18,0))="","",IF(INDEX('特性清单'!$J$7:$J$18,MATCH(C131,'特性清单'!$A$7:$A$18,0))="","",INDEX('特性清单'!$J$7:$J$18,MATCH(C131,'特性清单'!$A$7:$A$18,0))))</x:f>
      </x:c>
      <x:c r="AI131" s="10"/>
      <x:c r="AJ131" s="13" t="n">
        <x:f>IF(AND(ISNUMBER(U131),U131&gt;=0),1,0)</x:f>
        <x:v>0</x:v>
      </x:c>
      <x:c r="AK131" s="13" t="str">
        <x:f>IF(AE131&lt;&gt;"纳入","",IF(OR(O131="超时",AA131&gt;AH131),1,0))</x:f>
      </x:c>
    </x:row>
    <x:row r="132" ht="25" customHeight="1">
      <x:c r="A132" s="13" t="str">
        <x:v>F11-R2-CX</x:v>
      </x:c>
      <x:c r="B132" s="13" t="str">
        <x:v>F11-R2</x:v>
      </x:c>
      <x:c r="C132" s="13" t="str">
        <x:v>F11</x:v>
      </x:c>
      <x:c r="D132" s="58" t="n">
        <x:v>2</x:v>
      </x:c>
      <x:c r="E132" s="13" t="str">
        <x:v>Codex</x:v>
      </x:c>
      <x:c r="F132" s="10"/>
      <x:c r="G132" s="56"/>
      <x:c r="H132" s="45"/>
      <x:c r="I132" s="45"/>
      <x:c r="J132" s="48"/>
      <x:c r="K132" s="48"/>
      <x:c r="L132" s="48"/>
      <x:c r="M132" s="56"/>
      <x:c r="N132" s="56"/>
      <x:c r="O132" s="10"/>
      <x:c r="P132" s="56"/>
      <x:c r="Q132" s="56"/>
      <x:c r="R132" s="56"/>
      <x:c r="S132" s="10"/>
      <x:c r="T132" s="10"/>
      <x:c r="U132" s="53"/>
      <x:c r="V132" s="10"/>
      <x:c r="W132" s="10"/>
      <x:c r="X132" s="10"/>
      <x:c r="Y132" s="10"/>
      <x:c r="Z132" s="13" t="str">
        <x:f>IF(INDEX('特性清单'!$B$7:$B$18,MATCH(C132,'特性清单'!$A$7:$A$18,0))="","",IF(INDEX('特性清单'!$H$7:$H$18,MATCH(C132,'特性清单'!$A$7:$A$18,0))="","",INDEX('特性清单'!$H$7:$H$18,MATCH(C132,'特性清单'!$A$7:$A$18,0))))</x:f>
      </x:c>
      <x:c r="AA132" s="50" t="str">
        <x:f>IF(AND(COUNT(H132:J132)=3,I132&gt;=H132,J132&gt;=0),ROUND((I132-H132)*1440-J132,2),"")</x:f>
      </x:c>
      <x:c r="AB132" s="51" t="str">
        <x:f>IF(AND(ISNUMBER(P132),ISNUMBER(Z132),Z132&gt;0,P132&gt;=0,P132&lt;=Z132),P132/Z132,"")</x:f>
      </x:c>
      <x:c r="AC132" s="51" t="str">
        <x:f>IF(AND(ISNUMBER(Q132),ISNUMBER(Z132),Z132&gt;0,Q132&gt;=0,Q132&lt;=Z132),Q132/Z132,"")</x:f>
      </x:c>
      <x:c r="AD132" s="13" t="str">
        <x:f>IF(AE132&lt;&gt;"纳入","",IF(AND(O132="完成",AC132=1,R132=0,S132="通过",T132="通过",AA132&lt;=AH132),1,0))</x:f>
      </x:c>
      <x:c r="AE132" s="13" t="str">
        <x:f>IF(O132="","待运行",IF(O132="进行中","进行中",IF(NOT(OR(O132="完成",O132="超时",O132="工具故障",O132="主动终止")),"需核对终态",IF(OR('试点设置'!$C$15&lt;&gt;"齐备",INDEX('特性清单'!$P$7:$P$18,MATCH(C132,'特性清单'!$A$7:$A$18,0))&lt;&gt;"齐备",D132&gt;INDEX('特性清单'!$K$7:$K$18,MATCH(C132,'特性清单'!$A$7:$A$18,0))),"待补齐试验设置",IF(NOT(AND(F132&lt;&gt;"",COUNT(G132:N132)=8,COUNT(P132:R132)=3,S132&lt;&gt;"",T132&lt;&gt;"",V132&lt;&gt;"",X132&lt;&gt;"",Y132&lt;&gt;"",AI132&lt;&gt;"")),"待补齐记录",IF(NOT(AND(G132&gt;=1,G132&lt;=4,MOD(G132,1)=0,I132&gt;=H132,MIN(J132:N132)&gt;=0,MOD(M132,1)=0,MOD(N132,1)=0,AA132&gt;=0,K132&lt;=AA132,L132&lt;=K132,MIN(P132:R132)&gt;=0,MOD(P132,1)=0,MOD(Q132,1)=0,MOD(R132,1)=0,P132&lt;=Z132,Q132&lt;=Z132,OR(S132="通过",S132="失败",S132="未完成"),OR(T132="通过",T132="失败",T132="未完成"),OR(AI132="新手",AI132="偶尔使用",AI132="经常使用"),COUNTIFS($A$7:$A$150,A132)=1)),"需核对数值或ID",IF(OR(AND(O132&lt;&gt;"完成",W132=""),AND(J132&gt;0,W132=""),AND(V132&lt;&gt;"一致",W132="")),"待说明原因",IF(V132&lt;&gt;"一致","条件偏差","纳入"))))))))</x:f>
        <x:v>待运行</x:v>
      </x:c>
      <x:c r="AF132" s="13" t="n">
        <x:f>IF(AE132&lt;&gt;"纳入",0,INDEX('配对比较'!$J$7:$J$42,MATCH(B132,'配对比较'!$A$7:$A$42,0)))</x:f>
        <x:v>0</x:v>
      </x:c>
      <x:c r="AG132" s="13" t="n">
        <x:f>IF(AE132&lt;&gt;"纳入",0,INDEX('配对比较'!$L$7:$L$42,MATCH(B132,'配对比较'!$A$7:$A$42,0)))</x:f>
        <x:v>0</x:v>
      </x:c>
      <x:c r="AH132" s="13" t="str">
        <x:f>IF(INDEX('特性清单'!$B$7:$B$18,MATCH(C132,'特性清单'!$A$7:$A$18,0))="","",IF(INDEX('特性清单'!$J$7:$J$18,MATCH(C132,'特性清单'!$A$7:$A$18,0))="","",INDEX('特性清单'!$J$7:$J$18,MATCH(C132,'特性清单'!$A$7:$A$18,0))))</x:f>
      </x:c>
      <x:c r="AI132" s="10"/>
      <x:c r="AJ132" s="13" t="n">
        <x:f>IF(AND(ISNUMBER(U132),U132&gt;=0),1,0)</x:f>
        <x:v>0</x:v>
      </x:c>
      <x:c r="AK132" s="13" t="str">
        <x:f>IF(AE132&lt;&gt;"纳入","",IF(OR(O132="超时",AA132&gt;AH132),1,0))</x:f>
      </x:c>
    </x:row>
    <x:row r="133" ht="25" customHeight="1">
      <x:c r="A133" s="13" t="str">
        <x:v>F11-R2-TR</x:v>
      </x:c>
      <x:c r="B133" s="13" t="str">
        <x:v>F11-R2</x:v>
      </x:c>
      <x:c r="C133" s="13" t="str">
        <x:v>F11</x:v>
      </x:c>
      <x:c r="D133" s="58" t="n">
        <x:v>2</x:v>
      </x:c>
      <x:c r="E133" s="13" t="str">
        <x:v>Trae</x:v>
      </x:c>
      <x:c r="F133" s="10"/>
      <x:c r="G133" s="56"/>
      <x:c r="H133" s="45"/>
      <x:c r="I133" s="45"/>
      <x:c r="J133" s="48"/>
      <x:c r="K133" s="48"/>
      <x:c r="L133" s="48"/>
      <x:c r="M133" s="56"/>
      <x:c r="N133" s="56"/>
      <x:c r="O133" s="10"/>
      <x:c r="P133" s="56"/>
      <x:c r="Q133" s="56"/>
      <x:c r="R133" s="56"/>
      <x:c r="S133" s="10"/>
      <x:c r="T133" s="10"/>
      <x:c r="U133" s="53"/>
      <x:c r="V133" s="10"/>
      <x:c r="W133" s="10"/>
      <x:c r="X133" s="10"/>
      <x:c r="Y133" s="10"/>
      <x:c r="Z133" s="13" t="str">
        <x:f>IF(INDEX('特性清单'!$B$7:$B$18,MATCH(C133,'特性清单'!$A$7:$A$18,0))="","",IF(INDEX('特性清单'!$H$7:$H$18,MATCH(C133,'特性清单'!$A$7:$A$18,0))="","",INDEX('特性清单'!$H$7:$H$18,MATCH(C133,'特性清单'!$A$7:$A$18,0))))</x:f>
      </x:c>
      <x:c r="AA133" s="50" t="str">
        <x:f>IF(AND(COUNT(H133:J133)=3,I133&gt;=H133,J133&gt;=0),ROUND((I133-H133)*1440-J133,2),"")</x:f>
      </x:c>
      <x:c r="AB133" s="51" t="str">
        <x:f>IF(AND(ISNUMBER(P133),ISNUMBER(Z133),Z133&gt;0,P133&gt;=0,P133&lt;=Z133),P133/Z133,"")</x:f>
      </x:c>
      <x:c r="AC133" s="51" t="str">
        <x:f>IF(AND(ISNUMBER(Q133),ISNUMBER(Z133),Z133&gt;0,Q133&gt;=0,Q133&lt;=Z133),Q133/Z133,"")</x:f>
      </x:c>
      <x:c r="AD133" s="13" t="str">
        <x:f>IF(AE133&lt;&gt;"纳入","",IF(AND(O133="完成",AC133=1,R133=0,S133="通过",T133="通过",AA133&lt;=AH133),1,0))</x:f>
      </x:c>
      <x:c r="AE133" s="13" t="str">
        <x:f>IF(O133="","待运行",IF(O133="进行中","进行中",IF(NOT(OR(O133="完成",O133="超时",O133="工具故障",O133="主动终止")),"需核对终态",IF(OR('试点设置'!$C$15&lt;&gt;"齐备",INDEX('特性清单'!$P$7:$P$18,MATCH(C133,'特性清单'!$A$7:$A$18,0))&lt;&gt;"齐备",D133&gt;INDEX('特性清单'!$K$7:$K$18,MATCH(C133,'特性清单'!$A$7:$A$18,0))),"待补齐试验设置",IF(NOT(AND(F133&lt;&gt;"",COUNT(G133:N133)=8,COUNT(P133:R133)=3,S133&lt;&gt;"",T133&lt;&gt;"",V133&lt;&gt;"",X133&lt;&gt;"",Y133&lt;&gt;"",AI133&lt;&gt;"")),"待补齐记录",IF(NOT(AND(G133&gt;=1,G133&lt;=4,MOD(G133,1)=0,I133&gt;=H133,MIN(J133:N133)&gt;=0,MOD(M133,1)=0,MOD(N133,1)=0,AA133&gt;=0,K133&lt;=AA133,L133&lt;=K133,MIN(P133:R133)&gt;=0,MOD(P133,1)=0,MOD(Q133,1)=0,MOD(R133,1)=0,P133&lt;=Z133,Q133&lt;=Z133,OR(S133="通过",S133="失败",S133="未完成"),OR(T133="通过",T133="失败",T133="未完成"),OR(AI133="新手",AI133="偶尔使用",AI133="经常使用"),COUNTIFS($A$7:$A$150,A133)=1)),"需核对数值或ID",IF(OR(AND(O133&lt;&gt;"完成",W133=""),AND(J133&gt;0,W133=""),AND(V133&lt;&gt;"一致",W133="")),"待说明原因",IF(V133&lt;&gt;"一致","条件偏差","纳入"))))))))</x:f>
        <x:v>待运行</x:v>
      </x:c>
      <x:c r="AF133" s="13" t="n">
        <x:f>IF(AE133&lt;&gt;"纳入",0,INDEX('配对比较'!$J$7:$J$42,MATCH(B133,'配对比较'!$A$7:$A$42,0)))</x:f>
        <x:v>0</x:v>
      </x:c>
      <x:c r="AG133" s="13" t="n">
        <x:f>IF(AE133&lt;&gt;"纳入",0,INDEX('配对比较'!$L$7:$L$42,MATCH(B133,'配对比较'!$A$7:$A$42,0)))</x:f>
        <x:v>0</x:v>
      </x:c>
      <x:c r="AH133" s="13" t="str">
        <x:f>IF(INDEX('特性清单'!$B$7:$B$18,MATCH(C133,'特性清单'!$A$7:$A$18,0))="","",IF(INDEX('特性清单'!$J$7:$J$18,MATCH(C133,'特性清单'!$A$7:$A$18,0))="","",INDEX('特性清单'!$J$7:$J$18,MATCH(C133,'特性清单'!$A$7:$A$18,0))))</x:f>
      </x:c>
      <x:c r="AI133" s="10"/>
      <x:c r="AJ133" s="13" t="n">
        <x:f>IF(AND(ISNUMBER(U133),U133&gt;=0),1,0)</x:f>
        <x:v>0</x:v>
      </x:c>
      <x:c r="AK133" s="13" t="str">
        <x:f>IF(AE133&lt;&gt;"纳入","",IF(OR(O133="超时",AA133&gt;AH133),1,0))</x:f>
      </x:c>
    </x:row>
    <x:row r="134" ht="25" customHeight="1">
      <x:c r="A134" s="13" t="str">
        <x:v>F11-R2-CA</x:v>
      </x:c>
      <x:c r="B134" s="13" t="str">
        <x:v>F11-R2</x:v>
      </x:c>
      <x:c r="C134" s="13" t="str">
        <x:v>F11</x:v>
      </x:c>
      <x:c r="D134" s="58" t="n">
        <x:v>2</x:v>
      </x:c>
      <x:c r="E134" s="13" t="str">
        <x:v>CodeArts</x:v>
      </x:c>
      <x:c r="F134" s="10"/>
      <x:c r="G134" s="56"/>
      <x:c r="H134" s="45"/>
      <x:c r="I134" s="45"/>
      <x:c r="J134" s="48"/>
      <x:c r="K134" s="48"/>
      <x:c r="L134" s="48"/>
      <x:c r="M134" s="56"/>
      <x:c r="N134" s="56"/>
      <x:c r="O134" s="10"/>
      <x:c r="P134" s="56"/>
      <x:c r="Q134" s="56"/>
      <x:c r="R134" s="56"/>
      <x:c r="S134" s="10"/>
      <x:c r="T134" s="10"/>
      <x:c r="U134" s="53"/>
      <x:c r="V134" s="10"/>
      <x:c r="W134" s="10"/>
      <x:c r="X134" s="10"/>
      <x:c r="Y134" s="10"/>
      <x:c r="Z134" s="13" t="str">
        <x:f>IF(INDEX('特性清单'!$B$7:$B$18,MATCH(C134,'特性清单'!$A$7:$A$18,0))="","",IF(INDEX('特性清单'!$H$7:$H$18,MATCH(C134,'特性清单'!$A$7:$A$18,0))="","",INDEX('特性清单'!$H$7:$H$18,MATCH(C134,'特性清单'!$A$7:$A$18,0))))</x:f>
      </x:c>
      <x:c r="AA134" s="50" t="str">
        <x:f>IF(AND(COUNT(H134:J134)=3,I134&gt;=H134,J134&gt;=0),ROUND((I134-H134)*1440-J134,2),"")</x:f>
      </x:c>
      <x:c r="AB134" s="51" t="str">
        <x:f>IF(AND(ISNUMBER(P134),ISNUMBER(Z134),Z134&gt;0,P134&gt;=0,P134&lt;=Z134),P134/Z134,"")</x:f>
      </x:c>
      <x:c r="AC134" s="51" t="str">
        <x:f>IF(AND(ISNUMBER(Q134),ISNUMBER(Z134),Z134&gt;0,Q134&gt;=0,Q134&lt;=Z134),Q134/Z134,"")</x:f>
      </x:c>
      <x:c r="AD134" s="13" t="str">
        <x:f>IF(AE134&lt;&gt;"纳入","",IF(AND(O134="完成",AC134=1,R134=0,S134="通过",T134="通过",AA134&lt;=AH134),1,0))</x:f>
      </x:c>
      <x:c r="AE134" s="13" t="str">
        <x:f>IF(O134="","待运行",IF(O134="进行中","进行中",IF(NOT(OR(O134="完成",O134="超时",O134="工具故障",O134="主动终止")),"需核对终态",IF(OR('试点设置'!$C$15&lt;&gt;"齐备",INDEX('特性清单'!$P$7:$P$18,MATCH(C134,'特性清单'!$A$7:$A$18,0))&lt;&gt;"齐备",D134&gt;INDEX('特性清单'!$K$7:$K$18,MATCH(C134,'特性清单'!$A$7:$A$18,0))),"待补齐试验设置",IF(NOT(AND(F134&lt;&gt;"",COUNT(G134:N134)=8,COUNT(P134:R134)=3,S134&lt;&gt;"",T134&lt;&gt;"",V134&lt;&gt;"",X134&lt;&gt;"",Y134&lt;&gt;"",AI134&lt;&gt;"")),"待补齐记录",IF(NOT(AND(G134&gt;=1,G134&lt;=4,MOD(G134,1)=0,I134&gt;=H134,MIN(J134:N134)&gt;=0,MOD(M134,1)=0,MOD(N134,1)=0,AA134&gt;=0,K134&lt;=AA134,L134&lt;=K134,MIN(P134:R134)&gt;=0,MOD(P134,1)=0,MOD(Q134,1)=0,MOD(R134,1)=0,P134&lt;=Z134,Q134&lt;=Z134,OR(S134="通过",S134="失败",S134="未完成"),OR(T134="通过",T134="失败",T134="未完成"),OR(AI134="新手",AI134="偶尔使用",AI134="经常使用"),COUNTIFS($A$7:$A$150,A134)=1)),"需核对数值或ID",IF(OR(AND(O134&lt;&gt;"完成",W134=""),AND(J134&gt;0,W134=""),AND(V134&lt;&gt;"一致",W134="")),"待说明原因",IF(V134&lt;&gt;"一致","条件偏差","纳入"))))))))</x:f>
        <x:v>待运行</x:v>
      </x:c>
      <x:c r="AF134" s="13" t="n">
        <x:f>IF(AE134&lt;&gt;"纳入",0,INDEX('配对比较'!$J$7:$J$42,MATCH(B134,'配对比较'!$A$7:$A$42,0)))</x:f>
        <x:v>0</x:v>
      </x:c>
      <x:c r="AG134" s="13" t="n">
        <x:f>IF(AE134&lt;&gt;"纳入",0,INDEX('配对比较'!$L$7:$L$42,MATCH(B134,'配对比较'!$A$7:$A$42,0)))</x:f>
        <x:v>0</x:v>
      </x:c>
      <x:c r="AH134" s="13" t="str">
        <x:f>IF(INDEX('特性清单'!$B$7:$B$18,MATCH(C134,'特性清单'!$A$7:$A$18,0))="","",IF(INDEX('特性清单'!$J$7:$J$18,MATCH(C134,'特性清单'!$A$7:$A$18,0))="","",INDEX('特性清单'!$J$7:$J$18,MATCH(C134,'特性清单'!$A$7:$A$18,0))))</x:f>
      </x:c>
      <x:c r="AI134" s="10"/>
      <x:c r="AJ134" s="13" t="n">
        <x:f>IF(AND(ISNUMBER(U134),U134&gt;=0),1,0)</x:f>
        <x:v>0</x:v>
      </x:c>
      <x:c r="AK134" s="13" t="str">
        <x:f>IF(AE134&lt;&gt;"纳入","",IF(OR(O134="超时",AA134&gt;AH134),1,0))</x:f>
      </x:c>
    </x:row>
    <x:row r="135" ht="25" customHeight="1">
      <x:c r="A135" s="13" t="str">
        <x:v>F11-R3-CC</x:v>
      </x:c>
      <x:c r="B135" s="13" t="str">
        <x:v>F11-R3</x:v>
      </x:c>
      <x:c r="C135" s="13" t="str">
        <x:v>F11</x:v>
      </x:c>
      <x:c r="D135" s="58" t="n">
        <x:v>3</x:v>
      </x:c>
      <x:c r="E135" s="13" t="str">
        <x:v>Claude Code</x:v>
      </x:c>
      <x:c r="F135" s="10"/>
      <x:c r="G135" s="56"/>
      <x:c r="H135" s="45"/>
      <x:c r="I135" s="45"/>
      <x:c r="J135" s="48"/>
      <x:c r="K135" s="48"/>
      <x:c r="L135" s="48"/>
      <x:c r="M135" s="56"/>
      <x:c r="N135" s="56"/>
      <x:c r="O135" s="10"/>
      <x:c r="P135" s="56"/>
      <x:c r="Q135" s="56"/>
      <x:c r="R135" s="56"/>
      <x:c r="S135" s="10"/>
      <x:c r="T135" s="10"/>
      <x:c r="U135" s="53"/>
      <x:c r="V135" s="10"/>
      <x:c r="W135" s="10"/>
      <x:c r="X135" s="10"/>
      <x:c r="Y135" s="10"/>
      <x:c r="Z135" s="13" t="str">
        <x:f>IF(INDEX('特性清单'!$B$7:$B$18,MATCH(C135,'特性清单'!$A$7:$A$18,0))="","",IF(INDEX('特性清单'!$H$7:$H$18,MATCH(C135,'特性清单'!$A$7:$A$18,0))="","",INDEX('特性清单'!$H$7:$H$18,MATCH(C135,'特性清单'!$A$7:$A$18,0))))</x:f>
      </x:c>
      <x:c r="AA135" s="50" t="str">
        <x:f>IF(AND(COUNT(H135:J135)=3,I135&gt;=H135,J135&gt;=0),ROUND((I135-H135)*1440-J135,2),"")</x:f>
      </x:c>
      <x:c r="AB135" s="51" t="str">
        <x:f>IF(AND(ISNUMBER(P135),ISNUMBER(Z135),Z135&gt;0,P135&gt;=0,P135&lt;=Z135),P135/Z135,"")</x:f>
      </x:c>
      <x:c r="AC135" s="51" t="str">
        <x:f>IF(AND(ISNUMBER(Q135),ISNUMBER(Z135),Z135&gt;0,Q135&gt;=0,Q135&lt;=Z135),Q135/Z135,"")</x:f>
      </x:c>
      <x:c r="AD135" s="13" t="str">
        <x:f>IF(AE135&lt;&gt;"纳入","",IF(AND(O135="完成",AC135=1,R135=0,S135="通过",T135="通过",AA135&lt;=AH135),1,0))</x:f>
      </x:c>
      <x:c r="AE135" s="13" t="str">
        <x:f>IF(O135="","待运行",IF(O135="进行中","进行中",IF(NOT(OR(O135="完成",O135="超时",O135="工具故障",O135="主动终止")),"需核对终态",IF(OR('试点设置'!$C$15&lt;&gt;"齐备",INDEX('特性清单'!$P$7:$P$18,MATCH(C135,'特性清单'!$A$7:$A$18,0))&lt;&gt;"齐备",D135&gt;INDEX('特性清单'!$K$7:$K$18,MATCH(C135,'特性清单'!$A$7:$A$18,0))),"待补齐试验设置",IF(NOT(AND(F135&lt;&gt;"",COUNT(G135:N135)=8,COUNT(P135:R135)=3,S135&lt;&gt;"",T135&lt;&gt;"",V135&lt;&gt;"",X135&lt;&gt;"",Y135&lt;&gt;"",AI135&lt;&gt;"")),"待补齐记录",IF(NOT(AND(G135&gt;=1,G135&lt;=4,MOD(G135,1)=0,I135&gt;=H135,MIN(J135:N135)&gt;=0,MOD(M135,1)=0,MOD(N135,1)=0,AA135&gt;=0,K135&lt;=AA135,L135&lt;=K135,MIN(P135:R135)&gt;=0,MOD(P135,1)=0,MOD(Q135,1)=0,MOD(R135,1)=0,P135&lt;=Z135,Q135&lt;=Z135,OR(S135="通过",S135="失败",S135="未完成"),OR(T135="通过",T135="失败",T135="未完成"),OR(AI135="新手",AI135="偶尔使用",AI135="经常使用"),COUNTIFS($A$7:$A$150,A135)=1)),"需核对数值或ID",IF(OR(AND(O135&lt;&gt;"完成",W135=""),AND(J135&gt;0,W135=""),AND(V135&lt;&gt;"一致",W135="")),"待说明原因",IF(V135&lt;&gt;"一致","条件偏差","纳入"))))))))</x:f>
        <x:v>待运行</x:v>
      </x:c>
      <x:c r="AF135" s="13" t="n">
        <x:f>IF(AE135&lt;&gt;"纳入",0,INDEX('配对比较'!$J$7:$J$42,MATCH(B135,'配对比较'!$A$7:$A$42,0)))</x:f>
        <x:v>0</x:v>
      </x:c>
      <x:c r="AG135" s="13" t="n">
        <x:f>IF(AE135&lt;&gt;"纳入",0,INDEX('配对比较'!$L$7:$L$42,MATCH(B135,'配对比较'!$A$7:$A$42,0)))</x:f>
        <x:v>0</x:v>
      </x:c>
      <x:c r="AH135" s="13" t="str">
        <x:f>IF(INDEX('特性清单'!$B$7:$B$18,MATCH(C135,'特性清单'!$A$7:$A$18,0))="","",IF(INDEX('特性清单'!$J$7:$J$18,MATCH(C135,'特性清单'!$A$7:$A$18,0))="","",INDEX('特性清单'!$J$7:$J$18,MATCH(C135,'特性清单'!$A$7:$A$18,0))))</x:f>
      </x:c>
      <x:c r="AI135" s="10"/>
      <x:c r="AJ135" s="13" t="n">
        <x:f>IF(AND(ISNUMBER(U135),U135&gt;=0),1,0)</x:f>
        <x:v>0</x:v>
      </x:c>
      <x:c r="AK135" s="13" t="str">
        <x:f>IF(AE135&lt;&gt;"纳入","",IF(OR(O135="超时",AA135&gt;AH135),1,0))</x:f>
      </x:c>
    </x:row>
    <x:row r="136" ht="25" customHeight="1">
      <x:c r="A136" s="13" t="str">
        <x:v>F11-R3-CX</x:v>
      </x:c>
      <x:c r="B136" s="13" t="str">
        <x:v>F11-R3</x:v>
      </x:c>
      <x:c r="C136" s="13" t="str">
        <x:v>F11</x:v>
      </x:c>
      <x:c r="D136" s="58" t="n">
        <x:v>3</x:v>
      </x:c>
      <x:c r="E136" s="13" t="str">
        <x:v>Codex</x:v>
      </x:c>
      <x:c r="F136" s="10"/>
      <x:c r="G136" s="56"/>
      <x:c r="H136" s="45"/>
      <x:c r="I136" s="45"/>
      <x:c r="J136" s="48"/>
      <x:c r="K136" s="48"/>
      <x:c r="L136" s="48"/>
      <x:c r="M136" s="56"/>
      <x:c r="N136" s="56"/>
      <x:c r="O136" s="10"/>
      <x:c r="P136" s="56"/>
      <x:c r="Q136" s="56"/>
      <x:c r="R136" s="56"/>
      <x:c r="S136" s="10"/>
      <x:c r="T136" s="10"/>
      <x:c r="U136" s="53"/>
      <x:c r="V136" s="10"/>
      <x:c r="W136" s="10"/>
      <x:c r="X136" s="10"/>
      <x:c r="Y136" s="10"/>
      <x:c r="Z136" s="13" t="str">
        <x:f>IF(INDEX('特性清单'!$B$7:$B$18,MATCH(C136,'特性清单'!$A$7:$A$18,0))="","",IF(INDEX('特性清单'!$H$7:$H$18,MATCH(C136,'特性清单'!$A$7:$A$18,0))="","",INDEX('特性清单'!$H$7:$H$18,MATCH(C136,'特性清单'!$A$7:$A$18,0))))</x:f>
      </x:c>
      <x:c r="AA136" s="50" t="str">
        <x:f>IF(AND(COUNT(H136:J136)=3,I136&gt;=H136,J136&gt;=0),ROUND((I136-H136)*1440-J136,2),"")</x:f>
      </x:c>
      <x:c r="AB136" s="51" t="str">
        <x:f>IF(AND(ISNUMBER(P136),ISNUMBER(Z136),Z136&gt;0,P136&gt;=0,P136&lt;=Z136),P136/Z136,"")</x:f>
      </x:c>
      <x:c r="AC136" s="51" t="str">
        <x:f>IF(AND(ISNUMBER(Q136),ISNUMBER(Z136),Z136&gt;0,Q136&gt;=0,Q136&lt;=Z136),Q136/Z136,"")</x:f>
      </x:c>
      <x:c r="AD136" s="13" t="str">
        <x:f>IF(AE136&lt;&gt;"纳入","",IF(AND(O136="完成",AC136=1,R136=0,S136="通过",T136="通过",AA136&lt;=AH136),1,0))</x:f>
      </x:c>
      <x:c r="AE136" s="13" t="str">
        <x:f>IF(O136="","待运行",IF(O136="进行中","进行中",IF(NOT(OR(O136="完成",O136="超时",O136="工具故障",O136="主动终止")),"需核对终态",IF(OR('试点设置'!$C$15&lt;&gt;"齐备",INDEX('特性清单'!$P$7:$P$18,MATCH(C136,'特性清单'!$A$7:$A$18,0))&lt;&gt;"齐备",D136&gt;INDEX('特性清单'!$K$7:$K$18,MATCH(C136,'特性清单'!$A$7:$A$18,0))),"待补齐试验设置",IF(NOT(AND(F136&lt;&gt;"",COUNT(G136:N136)=8,COUNT(P136:R136)=3,S136&lt;&gt;"",T136&lt;&gt;"",V136&lt;&gt;"",X136&lt;&gt;"",Y136&lt;&gt;"",AI136&lt;&gt;"")),"待补齐记录",IF(NOT(AND(G136&gt;=1,G136&lt;=4,MOD(G136,1)=0,I136&gt;=H136,MIN(J136:N136)&gt;=0,MOD(M136,1)=0,MOD(N136,1)=0,AA136&gt;=0,K136&lt;=AA136,L136&lt;=K136,MIN(P136:R136)&gt;=0,MOD(P136,1)=0,MOD(Q136,1)=0,MOD(R136,1)=0,P136&lt;=Z136,Q136&lt;=Z136,OR(S136="通过",S136="失败",S136="未完成"),OR(T136="通过",T136="失败",T136="未完成"),OR(AI136="新手",AI136="偶尔使用",AI136="经常使用"),COUNTIFS($A$7:$A$150,A136)=1)),"需核对数值或ID",IF(OR(AND(O136&lt;&gt;"完成",W136=""),AND(J136&gt;0,W136=""),AND(V136&lt;&gt;"一致",W136="")),"待说明原因",IF(V136&lt;&gt;"一致","条件偏差","纳入"))))))))</x:f>
        <x:v>待运行</x:v>
      </x:c>
      <x:c r="AF136" s="13" t="n">
        <x:f>IF(AE136&lt;&gt;"纳入",0,INDEX('配对比较'!$J$7:$J$42,MATCH(B136,'配对比较'!$A$7:$A$42,0)))</x:f>
        <x:v>0</x:v>
      </x:c>
      <x:c r="AG136" s="13" t="n">
        <x:f>IF(AE136&lt;&gt;"纳入",0,INDEX('配对比较'!$L$7:$L$42,MATCH(B136,'配对比较'!$A$7:$A$42,0)))</x:f>
        <x:v>0</x:v>
      </x:c>
      <x:c r="AH136" s="13" t="str">
        <x:f>IF(INDEX('特性清单'!$B$7:$B$18,MATCH(C136,'特性清单'!$A$7:$A$18,0))="","",IF(INDEX('特性清单'!$J$7:$J$18,MATCH(C136,'特性清单'!$A$7:$A$18,0))="","",INDEX('特性清单'!$J$7:$J$18,MATCH(C136,'特性清单'!$A$7:$A$18,0))))</x:f>
      </x:c>
      <x:c r="AI136" s="10"/>
      <x:c r="AJ136" s="13" t="n">
        <x:f>IF(AND(ISNUMBER(U136),U136&gt;=0),1,0)</x:f>
        <x:v>0</x:v>
      </x:c>
      <x:c r="AK136" s="13" t="str">
        <x:f>IF(AE136&lt;&gt;"纳入","",IF(OR(O136="超时",AA136&gt;AH136),1,0))</x:f>
      </x:c>
    </x:row>
    <x:row r="137" ht="25" customHeight="1">
      <x:c r="A137" s="13" t="str">
        <x:v>F11-R3-TR</x:v>
      </x:c>
      <x:c r="B137" s="13" t="str">
        <x:v>F11-R3</x:v>
      </x:c>
      <x:c r="C137" s="13" t="str">
        <x:v>F11</x:v>
      </x:c>
      <x:c r="D137" s="58" t="n">
        <x:v>3</x:v>
      </x:c>
      <x:c r="E137" s="13" t="str">
        <x:v>Trae</x:v>
      </x:c>
      <x:c r="F137" s="10"/>
      <x:c r="G137" s="56"/>
      <x:c r="H137" s="45"/>
      <x:c r="I137" s="45"/>
      <x:c r="J137" s="48"/>
      <x:c r="K137" s="48"/>
      <x:c r="L137" s="48"/>
      <x:c r="M137" s="56"/>
      <x:c r="N137" s="56"/>
      <x:c r="O137" s="10"/>
      <x:c r="P137" s="56"/>
      <x:c r="Q137" s="56"/>
      <x:c r="R137" s="56"/>
      <x:c r="S137" s="10"/>
      <x:c r="T137" s="10"/>
      <x:c r="U137" s="53"/>
      <x:c r="V137" s="10"/>
      <x:c r="W137" s="10"/>
      <x:c r="X137" s="10"/>
      <x:c r="Y137" s="10"/>
      <x:c r="Z137" s="13" t="str">
        <x:f>IF(INDEX('特性清单'!$B$7:$B$18,MATCH(C137,'特性清单'!$A$7:$A$18,0))="","",IF(INDEX('特性清单'!$H$7:$H$18,MATCH(C137,'特性清单'!$A$7:$A$18,0))="","",INDEX('特性清单'!$H$7:$H$18,MATCH(C137,'特性清单'!$A$7:$A$18,0))))</x:f>
      </x:c>
      <x:c r="AA137" s="50" t="str">
        <x:f>IF(AND(COUNT(H137:J137)=3,I137&gt;=H137,J137&gt;=0),ROUND((I137-H137)*1440-J137,2),"")</x:f>
      </x:c>
      <x:c r="AB137" s="51" t="str">
        <x:f>IF(AND(ISNUMBER(P137),ISNUMBER(Z137),Z137&gt;0,P137&gt;=0,P137&lt;=Z137),P137/Z137,"")</x:f>
      </x:c>
      <x:c r="AC137" s="51" t="str">
        <x:f>IF(AND(ISNUMBER(Q137),ISNUMBER(Z137),Z137&gt;0,Q137&gt;=0,Q137&lt;=Z137),Q137/Z137,"")</x:f>
      </x:c>
      <x:c r="AD137" s="13" t="str">
        <x:f>IF(AE137&lt;&gt;"纳入","",IF(AND(O137="完成",AC137=1,R137=0,S137="通过",T137="通过",AA137&lt;=AH137),1,0))</x:f>
      </x:c>
      <x:c r="AE137" s="13" t="str">
        <x:f>IF(O137="","待运行",IF(O137="进行中","进行中",IF(NOT(OR(O137="完成",O137="超时",O137="工具故障",O137="主动终止")),"需核对终态",IF(OR('试点设置'!$C$15&lt;&gt;"齐备",INDEX('特性清单'!$P$7:$P$18,MATCH(C137,'特性清单'!$A$7:$A$18,0))&lt;&gt;"齐备",D137&gt;INDEX('特性清单'!$K$7:$K$18,MATCH(C137,'特性清单'!$A$7:$A$18,0))),"待补齐试验设置",IF(NOT(AND(F137&lt;&gt;"",COUNT(G137:N137)=8,COUNT(P137:R137)=3,S137&lt;&gt;"",T137&lt;&gt;"",V137&lt;&gt;"",X137&lt;&gt;"",Y137&lt;&gt;"",AI137&lt;&gt;"")),"待补齐记录",IF(NOT(AND(G137&gt;=1,G137&lt;=4,MOD(G137,1)=0,I137&gt;=H137,MIN(J137:N137)&gt;=0,MOD(M137,1)=0,MOD(N137,1)=0,AA137&gt;=0,K137&lt;=AA137,L137&lt;=K137,MIN(P137:R137)&gt;=0,MOD(P137,1)=0,MOD(Q137,1)=0,MOD(R137,1)=0,P137&lt;=Z137,Q137&lt;=Z137,OR(S137="通过",S137="失败",S137="未完成"),OR(T137="通过",T137="失败",T137="未完成"),OR(AI137="新手",AI137="偶尔使用",AI137="经常使用"),COUNTIFS($A$7:$A$150,A137)=1)),"需核对数值或ID",IF(OR(AND(O137&lt;&gt;"完成",W137=""),AND(J137&gt;0,W137=""),AND(V137&lt;&gt;"一致",W137="")),"待说明原因",IF(V137&lt;&gt;"一致","条件偏差","纳入"))))))))</x:f>
        <x:v>待运行</x:v>
      </x:c>
      <x:c r="AF137" s="13" t="n">
        <x:f>IF(AE137&lt;&gt;"纳入",0,INDEX('配对比较'!$J$7:$J$42,MATCH(B137,'配对比较'!$A$7:$A$42,0)))</x:f>
        <x:v>0</x:v>
      </x:c>
      <x:c r="AG137" s="13" t="n">
        <x:f>IF(AE137&lt;&gt;"纳入",0,INDEX('配对比较'!$L$7:$L$42,MATCH(B137,'配对比较'!$A$7:$A$42,0)))</x:f>
        <x:v>0</x:v>
      </x:c>
      <x:c r="AH137" s="13" t="str">
        <x:f>IF(INDEX('特性清单'!$B$7:$B$18,MATCH(C137,'特性清单'!$A$7:$A$18,0))="","",IF(INDEX('特性清单'!$J$7:$J$18,MATCH(C137,'特性清单'!$A$7:$A$18,0))="","",INDEX('特性清单'!$J$7:$J$18,MATCH(C137,'特性清单'!$A$7:$A$18,0))))</x:f>
      </x:c>
      <x:c r="AI137" s="10"/>
      <x:c r="AJ137" s="13" t="n">
        <x:f>IF(AND(ISNUMBER(U137),U137&gt;=0),1,0)</x:f>
        <x:v>0</x:v>
      </x:c>
      <x:c r="AK137" s="13" t="str">
        <x:f>IF(AE137&lt;&gt;"纳入","",IF(OR(O137="超时",AA137&gt;AH137),1,0))</x:f>
      </x:c>
    </x:row>
    <x:row r="138" ht="25" customHeight="1">
      <x:c r="A138" s="13" t="str">
        <x:v>F11-R3-CA</x:v>
      </x:c>
      <x:c r="B138" s="13" t="str">
        <x:v>F11-R3</x:v>
      </x:c>
      <x:c r="C138" s="13" t="str">
        <x:v>F11</x:v>
      </x:c>
      <x:c r="D138" s="58" t="n">
        <x:v>3</x:v>
      </x:c>
      <x:c r="E138" s="13" t="str">
        <x:v>CodeArts</x:v>
      </x:c>
      <x:c r="F138" s="10"/>
      <x:c r="G138" s="56"/>
      <x:c r="H138" s="45"/>
      <x:c r="I138" s="45"/>
      <x:c r="J138" s="48"/>
      <x:c r="K138" s="48"/>
      <x:c r="L138" s="48"/>
      <x:c r="M138" s="56"/>
      <x:c r="N138" s="56"/>
      <x:c r="O138" s="10"/>
      <x:c r="P138" s="56"/>
      <x:c r="Q138" s="56"/>
      <x:c r="R138" s="56"/>
      <x:c r="S138" s="10"/>
      <x:c r="T138" s="10"/>
      <x:c r="U138" s="53"/>
      <x:c r="V138" s="10"/>
      <x:c r="W138" s="10"/>
      <x:c r="X138" s="10"/>
      <x:c r="Y138" s="10"/>
      <x:c r="Z138" s="13" t="str">
        <x:f>IF(INDEX('特性清单'!$B$7:$B$18,MATCH(C138,'特性清单'!$A$7:$A$18,0))="","",IF(INDEX('特性清单'!$H$7:$H$18,MATCH(C138,'特性清单'!$A$7:$A$18,0))="","",INDEX('特性清单'!$H$7:$H$18,MATCH(C138,'特性清单'!$A$7:$A$18,0))))</x:f>
      </x:c>
      <x:c r="AA138" s="50" t="str">
        <x:f>IF(AND(COUNT(H138:J138)=3,I138&gt;=H138,J138&gt;=0),ROUND((I138-H138)*1440-J138,2),"")</x:f>
      </x:c>
      <x:c r="AB138" s="51" t="str">
        <x:f>IF(AND(ISNUMBER(P138),ISNUMBER(Z138),Z138&gt;0,P138&gt;=0,P138&lt;=Z138),P138/Z138,"")</x:f>
      </x:c>
      <x:c r="AC138" s="51" t="str">
        <x:f>IF(AND(ISNUMBER(Q138),ISNUMBER(Z138),Z138&gt;0,Q138&gt;=0,Q138&lt;=Z138),Q138/Z138,"")</x:f>
      </x:c>
      <x:c r="AD138" s="13" t="str">
        <x:f>IF(AE138&lt;&gt;"纳入","",IF(AND(O138="完成",AC138=1,R138=0,S138="通过",T138="通过",AA138&lt;=AH138),1,0))</x:f>
      </x:c>
      <x:c r="AE138" s="13" t="str">
        <x:f>IF(O138="","待运行",IF(O138="进行中","进行中",IF(NOT(OR(O138="完成",O138="超时",O138="工具故障",O138="主动终止")),"需核对终态",IF(OR('试点设置'!$C$15&lt;&gt;"齐备",INDEX('特性清单'!$P$7:$P$18,MATCH(C138,'特性清单'!$A$7:$A$18,0))&lt;&gt;"齐备",D138&gt;INDEX('特性清单'!$K$7:$K$18,MATCH(C138,'特性清单'!$A$7:$A$18,0))),"待补齐试验设置",IF(NOT(AND(F138&lt;&gt;"",COUNT(G138:N138)=8,COUNT(P138:R138)=3,S138&lt;&gt;"",T138&lt;&gt;"",V138&lt;&gt;"",X138&lt;&gt;"",Y138&lt;&gt;"",AI138&lt;&gt;"")),"待补齐记录",IF(NOT(AND(G138&gt;=1,G138&lt;=4,MOD(G138,1)=0,I138&gt;=H138,MIN(J138:N138)&gt;=0,MOD(M138,1)=0,MOD(N138,1)=0,AA138&gt;=0,K138&lt;=AA138,L138&lt;=K138,MIN(P138:R138)&gt;=0,MOD(P138,1)=0,MOD(Q138,1)=0,MOD(R138,1)=0,P138&lt;=Z138,Q138&lt;=Z138,OR(S138="通过",S138="失败",S138="未完成"),OR(T138="通过",T138="失败",T138="未完成"),OR(AI138="新手",AI138="偶尔使用",AI138="经常使用"),COUNTIFS($A$7:$A$150,A138)=1)),"需核对数值或ID",IF(OR(AND(O138&lt;&gt;"完成",W138=""),AND(J138&gt;0,W138=""),AND(V138&lt;&gt;"一致",W138="")),"待说明原因",IF(V138&lt;&gt;"一致","条件偏差","纳入"))))))))</x:f>
        <x:v>待运行</x:v>
      </x:c>
      <x:c r="AF138" s="13" t="n">
        <x:f>IF(AE138&lt;&gt;"纳入",0,INDEX('配对比较'!$J$7:$J$42,MATCH(B138,'配对比较'!$A$7:$A$42,0)))</x:f>
        <x:v>0</x:v>
      </x:c>
      <x:c r="AG138" s="13" t="n">
        <x:f>IF(AE138&lt;&gt;"纳入",0,INDEX('配对比较'!$L$7:$L$42,MATCH(B138,'配对比较'!$A$7:$A$42,0)))</x:f>
        <x:v>0</x:v>
      </x:c>
      <x:c r="AH138" s="13" t="str">
        <x:f>IF(INDEX('特性清单'!$B$7:$B$18,MATCH(C138,'特性清单'!$A$7:$A$18,0))="","",IF(INDEX('特性清单'!$J$7:$J$18,MATCH(C138,'特性清单'!$A$7:$A$18,0))="","",INDEX('特性清单'!$J$7:$J$18,MATCH(C138,'特性清单'!$A$7:$A$18,0))))</x:f>
      </x:c>
      <x:c r="AI138" s="10"/>
      <x:c r="AJ138" s="13" t="n">
        <x:f>IF(AND(ISNUMBER(U138),U138&gt;=0),1,0)</x:f>
        <x:v>0</x:v>
      </x:c>
      <x:c r="AK138" s="13" t="str">
        <x:f>IF(AE138&lt;&gt;"纳入","",IF(OR(O138="超时",AA138&gt;AH138),1,0))</x:f>
      </x:c>
    </x:row>
    <x:row r="139" ht="25" customHeight="1">
      <x:c r="A139" s="13" t="str">
        <x:v>F12-R1-CC</x:v>
      </x:c>
      <x:c r="B139" s="13" t="str">
        <x:v>F12-R1</x:v>
      </x:c>
      <x:c r="C139" s="13" t="str">
        <x:v>F12</x:v>
      </x:c>
      <x:c r="D139" s="58" t="n">
        <x:v>1</x:v>
      </x:c>
      <x:c r="E139" s="13" t="str">
        <x:v>Claude Code</x:v>
      </x:c>
      <x:c r="F139" s="10"/>
      <x:c r="G139" s="56"/>
      <x:c r="H139" s="45"/>
      <x:c r="I139" s="45"/>
      <x:c r="J139" s="48"/>
      <x:c r="K139" s="48"/>
      <x:c r="L139" s="48"/>
      <x:c r="M139" s="56"/>
      <x:c r="N139" s="56"/>
      <x:c r="O139" s="10"/>
      <x:c r="P139" s="56"/>
      <x:c r="Q139" s="56"/>
      <x:c r="R139" s="56"/>
      <x:c r="S139" s="10"/>
      <x:c r="T139" s="10"/>
      <x:c r="U139" s="53"/>
      <x:c r="V139" s="10"/>
      <x:c r="W139" s="10"/>
      <x:c r="X139" s="10"/>
      <x:c r="Y139" s="10"/>
      <x:c r="Z139" s="13" t="str">
        <x:f>IF(INDEX('特性清单'!$B$7:$B$18,MATCH(C139,'特性清单'!$A$7:$A$18,0))="","",IF(INDEX('特性清单'!$H$7:$H$18,MATCH(C139,'特性清单'!$A$7:$A$18,0))="","",INDEX('特性清单'!$H$7:$H$18,MATCH(C139,'特性清单'!$A$7:$A$18,0))))</x:f>
      </x:c>
      <x:c r="AA139" s="50" t="str">
        <x:f>IF(AND(COUNT(H139:J139)=3,I139&gt;=H139,J139&gt;=0),ROUND((I139-H139)*1440-J139,2),"")</x:f>
      </x:c>
      <x:c r="AB139" s="51" t="str">
        <x:f>IF(AND(ISNUMBER(P139),ISNUMBER(Z139),Z139&gt;0,P139&gt;=0,P139&lt;=Z139),P139/Z139,"")</x:f>
      </x:c>
      <x:c r="AC139" s="51" t="str">
        <x:f>IF(AND(ISNUMBER(Q139),ISNUMBER(Z139),Z139&gt;0,Q139&gt;=0,Q139&lt;=Z139),Q139/Z139,"")</x:f>
      </x:c>
      <x:c r="AD139" s="13" t="str">
        <x:f>IF(AE139&lt;&gt;"纳入","",IF(AND(O139="完成",AC139=1,R139=0,S139="通过",T139="通过",AA139&lt;=AH139),1,0))</x:f>
      </x:c>
      <x:c r="AE139" s="13" t="str">
        <x:f>IF(O139="","待运行",IF(O139="进行中","进行中",IF(NOT(OR(O139="完成",O139="超时",O139="工具故障",O139="主动终止")),"需核对终态",IF(OR('试点设置'!$C$15&lt;&gt;"齐备",INDEX('特性清单'!$P$7:$P$18,MATCH(C139,'特性清单'!$A$7:$A$18,0))&lt;&gt;"齐备",D139&gt;INDEX('特性清单'!$K$7:$K$18,MATCH(C139,'特性清单'!$A$7:$A$18,0))),"待补齐试验设置",IF(NOT(AND(F139&lt;&gt;"",COUNT(G139:N139)=8,COUNT(P139:R139)=3,S139&lt;&gt;"",T139&lt;&gt;"",V139&lt;&gt;"",X139&lt;&gt;"",Y139&lt;&gt;"",AI139&lt;&gt;"")),"待补齐记录",IF(NOT(AND(G139&gt;=1,G139&lt;=4,MOD(G139,1)=0,I139&gt;=H139,MIN(J139:N139)&gt;=0,MOD(M139,1)=0,MOD(N139,1)=0,AA139&gt;=0,K139&lt;=AA139,L139&lt;=K139,MIN(P139:R139)&gt;=0,MOD(P139,1)=0,MOD(Q139,1)=0,MOD(R139,1)=0,P139&lt;=Z139,Q139&lt;=Z139,OR(S139="通过",S139="失败",S139="未完成"),OR(T139="通过",T139="失败",T139="未完成"),OR(AI139="新手",AI139="偶尔使用",AI139="经常使用"),COUNTIFS($A$7:$A$150,A139)=1)),"需核对数值或ID",IF(OR(AND(O139&lt;&gt;"完成",W139=""),AND(J139&gt;0,W139=""),AND(V139&lt;&gt;"一致",W139="")),"待说明原因",IF(V139&lt;&gt;"一致","条件偏差","纳入"))))))))</x:f>
        <x:v>待运行</x:v>
      </x:c>
      <x:c r="AF139" s="13" t="n">
        <x:f>IF(AE139&lt;&gt;"纳入",0,INDEX('配对比较'!$J$7:$J$42,MATCH(B139,'配对比较'!$A$7:$A$42,0)))</x:f>
        <x:v>0</x:v>
      </x:c>
      <x:c r="AG139" s="13" t="n">
        <x:f>IF(AE139&lt;&gt;"纳入",0,INDEX('配对比较'!$L$7:$L$42,MATCH(B139,'配对比较'!$A$7:$A$42,0)))</x:f>
        <x:v>0</x:v>
      </x:c>
      <x:c r="AH139" s="13" t="str">
        <x:f>IF(INDEX('特性清单'!$B$7:$B$18,MATCH(C139,'特性清单'!$A$7:$A$18,0))="","",IF(INDEX('特性清单'!$J$7:$J$18,MATCH(C139,'特性清单'!$A$7:$A$18,0))="","",INDEX('特性清单'!$J$7:$J$18,MATCH(C139,'特性清单'!$A$7:$A$18,0))))</x:f>
      </x:c>
      <x:c r="AI139" s="10"/>
      <x:c r="AJ139" s="13" t="n">
        <x:f>IF(AND(ISNUMBER(U139),U139&gt;=0),1,0)</x:f>
        <x:v>0</x:v>
      </x:c>
      <x:c r="AK139" s="13" t="str">
        <x:f>IF(AE139&lt;&gt;"纳入","",IF(OR(O139="超时",AA139&gt;AH139),1,0))</x:f>
      </x:c>
    </x:row>
    <x:row r="140" ht="25" customHeight="1">
      <x:c r="A140" s="13" t="str">
        <x:v>F12-R1-CX</x:v>
      </x:c>
      <x:c r="B140" s="13" t="str">
        <x:v>F12-R1</x:v>
      </x:c>
      <x:c r="C140" s="13" t="str">
        <x:v>F12</x:v>
      </x:c>
      <x:c r="D140" s="58" t="n">
        <x:v>1</x:v>
      </x:c>
      <x:c r="E140" s="13" t="str">
        <x:v>Codex</x:v>
      </x:c>
      <x:c r="F140" s="10"/>
      <x:c r="G140" s="56"/>
      <x:c r="H140" s="45"/>
      <x:c r="I140" s="45"/>
      <x:c r="J140" s="48"/>
      <x:c r="K140" s="48"/>
      <x:c r="L140" s="48"/>
      <x:c r="M140" s="56"/>
      <x:c r="N140" s="56"/>
      <x:c r="O140" s="10"/>
      <x:c r="P140" s="56"/>
      <x:c r="Q140" s="56"/>
      <x:c r="R140" s="56"/>
      <x:c r="S140" s="10"/>
      <x:c r="T140" s="10"/>
      <x:c r="U140" s="53"/>
      <x:c r="V140" s="10"/>
      <x:c r="W140" s="10"/>
      <x:c r="X140" s="10"/>
      <x:c r="Y140" s="10"/>
      <x:c r="Z140" s="13" t="str">
        <x:f>IF(INDEX('特性清单'!$B$7:$B$18,MATCH(C140,'特性清单'!$A$7:$A$18,0))="","",IF(INDEX('特性清单'!$H$7:$H$18,MATCH(C140,'特性清单'!$A$7:$A$18,0))="","",INDEX('特性清单'!$H$7:$H$18,MATCH(C140,'特性清单'!$A$7:$A$18,0))))</x:f>
      </x:c>
      <x:c r="AA140" s="50" t="str">
        <x:f>IF(AND(COUNT(H140:J140)=3,I140&gt;=H140,J140&gt;=0),ROUND((I140-H140)*1440-J140,2),"")</x:f>
      </x:c>
      <x:c r="AB140" s="51" t="str">
        <x:f>IF(AND(ISNUMBER(P140),ISNUMBER(Z140),Z140&gt;0,P140&gt;=0,P140&lt;=Z140),P140/Z140,"")</x:f>
      </x:c>
      <x:c r="AC140" s="51" t="str">
        <x:f>IF(AND(ISNUMBER(Q140),ISNUMBER(Z140),Z140&gt;0,Q140&gt;=0,Q140&lt;=Z140),Q140/Z140,"")</x:f>
      </x:c>
      <x:c r="AD140" s="13" t="str">
        <x:f>IF(AE140&lt;&gt;"纳入","",IF(AND(O140="完成",AC140=1,R140=0,S140="通过",T140="通过",AA140&lt;=AH140),1,0))</x:f>
      </x:c>
      <x:c r="AE140" s="13" t="str">
        <x:f>IF(O140="","待运行",IF(O140="进行中","进行中",IF(NOT(OR(O140="完成",O140="超时",O140="工具故障",O140="主动终止")),"需核对终态",IF(OR('试点设置'!$C$15&lt;&gt;"齐备",INDEX('特性清单'!$P$7:$P$18,MATCH(C140,'特性清单'!$A$7:$A$18,0))&lt;&gt;"齐备",D140&gt;INDEX('特性清单'!$K$7:$K$18,MATCH(C140,'特性清单'!$A$7:$A$18,0))),"待补齐试验设置",IF(NOT(AND(F140&lt;&gt;"",COUNT(G140:N140)=8,COUNT(P140:R140)=3,S140&lt;&gt;"",T140&lt;&gt;"",V140&lt;&gt;"",X140&lt;&gt;"",Y140&lt;&gt;"",AI140&lt;&gt;"")),"待补齐记录",IF(NOT(AND(G140&gt;=1,G140&lt;=4,MOD(G140,1)=0,I140&gt;=H140,MIN(J140:N140)&gt;=0,MOD(M140,1)=0,MOD(N140,1)=0,AA140&gt;=0,K140&lt;=AA140,L140&lt;=K140,MIN(P140:R140)&gt;=0,MOD(P140,1)=0,MOD(Q140,1)=0,MOD(R140,1)=0,P140&lt;=Z140,Q140&lt;=Z140,OR(S140="通过",S140="失败",S140="未完成"),OR(T140="通过",T140="失败",T140="未完成"),OR(AI140="新手",AI140="偶尔使用",AI140="经常使用"),COUNTIFS($A$7:$A$150,A140)=1)),"需核对数值或ID",IF(OR(AND(O140&lt;&gt;"完成",W140=""),AND(J140&gt;0,W140=""),AND(V140&lt;&gt;"一致",W140="")),"待说明原因",IF(V140&lt;&gt;"一致","条件偏差","纳入"))))))))</x:f>
        <x:v>待运行</x:v>
      </x:c>
      <x:c r="AF140" s="13" t="n">
        <x:f>IF(AE140&lt;&gt;"纳入",0,INDEX('配对比较'!$J$7:$J$42,MATCH(B140,'配对比较'!$A$7:$A$42,0)))</x:f>
        <x:v>0</x:v>
      </x:c>
      <x:c r="AG140" s="13" t="n">
        <x:f>IF(AE140&lt;&gt;"纳入",0,INDEX('配对比较'!$L$7:$L$42,MATCH(B140,'配对比较'!$A$7:$A$42,0)))</x:f>
        <x:v>0</x:v>
      </x:c>
      <x:c r="AH140" s="13" t="str">
        <x:f>IF(INDEX('特性清单'!$B$7:$B$18,MATCH(C140,'特性清单'!$A$7:$A$18,0))="","",IF(INDEX('特性清单'!$J$7:$J$18,MATCH(C140,'特性清单'!$A$7:$A$18,0))="","",INDEX('特性清单'!$J$7:$J$18,MATCH(C140,'特性清单'!$A$7:$A$18,0))))</x:f>
      </x:c>
      <x:c r="AI140" s="10"/>
      <x:c r="AJ140" s="13" t="n">
        <x:f>IF(AND(ISNUMBER(U140),U140&gt;=0),1,0)</x:f>
        <x:v>0</x:v>
      </x:c>
      <x:c r="AK140" s="13" t="str">
        <x:f>IF(AE140&lt;&gt;"纳入","",IF(OR(O140="超时",AA140&gt;AH140),1,0))</x:f>
      </x:c>
    </x:row>
    <x:row r="141" ht="25" customHeight="1">
      <x:c r="A141" s="13" t="str">
        <x:v>F12-R1-TR</x:v>
      </x:c>
      <x:c r="B141" s="13" t="str">
        <x:v>F12-R1</x:v>
      </x:c>
      <x:c r="C141" s="13" t="str">
        <x:v>F12</x:v>
      </x:c>
      <x:c r="D141" s="58" t="n">
        <x:v>1</x:v>
      </x:c>
      <x:c r="E141" s="13" t="str">
        <x:v>Trae</x:v>
      </x:c>
      <x:c r="F141" s="10"/>
      <x:c r="G141" s="56"/>
      <x:c r="H141" s="45"/>
      <x:c r="I141" s="45"/>
      <x:c r="J141" s="48"/>
      <x:c r="K141" s="48"/>
      <x:c r="L141" s="48"/>
      <x:c r="M141" s="56"/>
      <x:c r="N141" s="56"/>
      <x:c r="O141" s="10"/>
      <x:c r="P141" s="56"/>
      <x:c r="Q141" s="56"/>
      <x:c r="R141" s="56"/>
      <x:c r="S141" s="10"/>
      <x:c r="T141" s="10"/>
      <x:c r="U141" s="53"/>
      <x:c r="V141" s="10"/>
      <x:c r="W141" s="10"/>
      <x:c r="X141" s="10"/>
      <x:c r="Y141" s="10"/>
      <x:c r="Z141" s="13" t="str">
        <x:f>IF(INDEX('特性清单'!$B$7:$B$18,MATCH(C141,'特性清单'!$A$7:$A$18,0))="","",IF(INDEX('特性清单'!$H$7:$H$18,MATCH(C141,'特性清单'!$A$7:$A$18,0))="","",INDEX('特性清单'!$H$7:$H$18,MATCH(C141,'特性清单'!$A$7:$A$18,0))))</x:f>
      </x:c>
      <x:c r="AA141" s="50" t="str">
        <x:f>IF(AND(COUNT(H141:J141)=3,I141&gt;=H141,J141&gt;=0),ROUND((I141-H141)*1440-J141,2),"")</x:f>
      </x:c>
      <x:c r="AB141" s="51" t="str">
        <x:f>IF(AND(ISNUMBER(P141),ISNUMBER(Z141),Z141&gt;0,P141&gt;=0,P141&lt;=Z141),P141/Z141,"")</x:f>
      </x:c>
      <x:c r="AC141" s="51" t="str">
        <x:f>IF(AND(ISNUMBER(Q141),ISNUMBER(Z141),Z141&gt;0,Q141&gt;=0,Q141&lt;=Z141),Q141/Z141,"")</x:f>
      </x:c>
      <x:c r="AD141" s="13" t="str">
        <x:f>IF(AE141&lt;&gt;"纳入","",IF(AND(O141="完成",AC141=1,R141=0,S141="通过",T141="通过",AA141&lt;=AH141),1,0))</x:f>
      </x:c>
      <x:c r="AE141" s="13" t="str">
        <x:f>IF(O141="","待运行",IF(O141="进行中","进行中",IF(NOT(OR(O141="完成",O141="超时",O141="工具故障",O141="主动终止")),"需核对终态",IF(OR('试点设置'!$C$15&lt;&gt;"齐备",INDEX('特性清单'!$P$7:$P$18,MATCH(C141,'特性清单'!$A$7:$A$18,0))&lt;&gt;"齐备",D141&gt;INDEX('特性清单'!$K$7:$K$18,MATCH(C141,'特性清单'!$A$7:$A$18,0))),"待补齐试验设置",IF(NOT(AND(F141&lt;&gt;"",COUNT(G141:N141)=8,COUNT(P141:R141)=3,S141&lt;&gt;"",T141&lt;&gt;"",V141&lt;&gt;"",X141&lt;&gt;"",Y141&lt;&gt;"",AI141&lt;&gt;"")),"待补齐记录",IF(NOT(AND(G141&gt;=1,G141&lt;=4,MOD(G141,1)=0,I141&gt;=H141,MIN(J141:N141)&gt;=0,MOD(M141,1)=0,MOD(N141,1)=0,AA141&gt;=0,K141&lt;=AA141,L141&lt;=K141,MIN(P141:R141)&gt;=0,MOD(P141,1)=0,MOD(Q141,1)=0,MOD(R141,1)=0,P141&lt;=Z141,Q141&lt;=Z141,OR(S141="通过",S141="失败",S141="未完成"),OR(T141="通过",T141="失败",T141="未完成"),OR(AI141="新手",AI141="偶尔使用",AI141="经常使用"),COUNTIFS($A$7:$A$150,A141)=1)),"需核对数值或ID",IF(OR(AND(O141&lt;&gt;"完成",W141=""),AND(J141&gt;0,W141=""),AND(V141&lt;&gt;"一致",W141="")),"待说明原因",IF(V141&lt;&gt;"一致","条件偏差","纳入"))))))))</x:f>
        <x:v>待运行</x:v>
      </x:c>
      <x:c r="AF141" s="13" t="n">
        <x:f>IF(AE141&lt;&gt;"纳入",0,INDEX('配对比较'!$J$7:$J$42,MATCH(B141,'配对比较'!$A$7:$A$42,0)))</x:f>
        <x:v>0</x:v>
      </x:c>
      <x:c r="AG141" s="13" t="n">
        <x:f>IF(AE141&lt;&gt;"纳入",0,INDEX('配对比较'!$L$7:$L$42,MATCH(B141,'配对比较'!$A$7:$A$42,0)))</x:f>
        <x:v>0</x:v>
      </x:c>
      <x:c r="AH141" s="13" t="str">
        <x:f>IF(INDEX('特性清单'!$B$7:$B$18,MATCH(C141,'特性清单'!$A$7:$A$18,0))="","",IF(INDEX('特性清单'!$J$7:$J$18,MATCH(C141,'特性清单'!$A$7:$A$18,0))="","",INDEX('特性清单'!$J$7:$J$18,MATCH(C141,'特性清单'!$A$7:$A$18,0))))</x:f>
      </x:c>
      <x:c r="AI141" s="10"/>
      <x:c r="AJ141" s="13" t="n">
        <x:f>IF(AND(ISNUMBER(U141),U141&gt;=0),1,0)</x:f>
        <x:v>0</x:v>
      </x:c>
      <x:c r="AK141" s="13" t="str">
        <x:f>IF(AE141&lt;&gt;"纳入","",IF(OR(O141="超时",AA141&gt;AH141),1,0))</x:f>
      </x:c>
    </x:row>
    <x:row r="142" ht="25" customHeight="1">
      <x:c r="A142" s="13" t="str">
        <x:v>F12-R1-CA</x:v>
      </x:c>
      <x:c r="B142" s="13" t="str">
        <x:v>F12-R1</x:v>
      </x:c>
      <x:c r="C142" s="13" t="str">
        <x:v>F12</x:v>
      </x:c>
      <x:c r="D142" s="58" t="n">
        <x:v>1</x:v>
      </x:c>
      <x:c r="E142" s="13" t="str">
        <x:v>CodeArts</x:v>
      </x:c>
      <x:c r="F142" s="10"/>
      <x:c r="G142" s="56"/>
      <x:c r="H142" s="45"/>
      <x:c r="I142" s="45"/>
      <x:c r="J142" s="48"/>
      <x:c r="K142" s="48"/>
      <x:c r="L142" s="48"/>
      <x:c r="M142" s="56"/>
      <x:c r="N142" s="56"/>
      <x:c r="O142" s="10"/>
      <x:c r="P142" s="56"/>
      <x:c r="Q142" s="56"/>
      <x:c r="R142" s="56"/>
      <x:c r="S142" s="10"/>
      <x:c r="T142" s="10"/>
      <x:c r="U142" s="53"/>
      <x:c r="V142" s="10"/>
      <x:c r="W142" s="10"/>
      <x:c r="X142" s="10"/>
      <x:c r="Y142" s="10"/>
      <x:c r="Z142" s="13" t="str">
        <x:f>IF(INDEX('特性清单'!$B$7:$B$18,MATCH(C142,'特性清单'!$A$7:$A$18,0))="","",IF(INDEX('特性清单'!$H$7:$H$18,MATCH(C142,'特性清单'!$A$7:$A$18,0))="","",INDEX('特性清单'!$H$7:$H$18,MATCH(C142,'特性清单'!$A$7:$A$18,0))))</x:f>
      </x:c>
      <x:c r="AA142" s="50" t="str">
        <x:f>IF(AND(COUNT(H142:J142)=3,I142&gt;=H142,J142&gt;=0),ROUND((I142-H142)*1440-J142,2),"")</x:f>
      </x:c>
      <x:c r="AB142" s="51" t="str">
        <x:f>IF(AND(ISNUMBER(P142),ISNUMBER(Z142),Z142&gt;0,P142&gt;=0,P142&lt;=Z142),P142/Z142,"")</x:f>
      </x:c>
      <x:c r="AC142" s="51" t="str">
        <x:f>IF(AND(ISNUMBER(Q142),ISNUMBER(Z142),Z142&gt;0,Q142&gt;=0,Q142&lt;=Z142),Q142/Z142,"")</x:f>
      </x:c>
      <x:c r="AD142" s="13" t="str">
        <x:f>IF(AE142&lt;&gt;"纳入","",IF(AND(O142="完成",AC142=1,R142=0,S142="通过",T142="通过",AA142&lt;=AH142),1,0))</x:f>
      </x:c>
      <x:c r="AE142" s="13" t="str">
        <x:f>IF(O142="","待运行",IF(O142="进行中","进行中",IF(NOT(OR(O142="完成",O142="超时",O142="工具故障",O142="主动终止")),"需核对终态",IF(OR('试点设置'!$C$15&lt;&gt;"齐备",INDEX('特性清单'!$P$7:$P$18,MATCH(C142,'特性清单'!$A$7:$A$18,0))&lt;&gt;"齐备",D142&gt;INDEX('特性清单'!$K$7:$K$18,MATCH(C142,'特性清单'!$A$7:$A$18,0))),"待补齐试验设置",IF(NOT(AND(F142&lt;&gt;"",COUNT(G142:N142)=8,COUNT(P142:R142)=3,S142&lt;&gt;"",T142&lt;&gt;"",V142&lt;&gt;"",X142&lt;&gt;"",Y142&lt;&gt;"",AI142&lt;&gt;"")),"待补齐记录",IF(NOT(AND(G142&gt;=1,G142&lt;=4,MOD(G142,1)=0,I142&gt;=H142,MIN(J142:N142)&gt;=0,MOD(M142,1)=0,MOD(N142,1)=0,AA142&gt;=0,K142&lt;=AA142,L142&lt;=K142,MIN(P142:R142)&gt;=0,MOD(P142,1)=0,MOD(Q142,1)=0,MOD(R142,1)=0,P142&lt;=Z142,Q142&lt;=Z142,OR(S142="通过",S142="失败",S142="未完成"),OR(T142="通过",T142="失败",T142="未完成"),OR(AI142="新手",AI142="偶尔使用",AI142="经常使用"),COUNTIFS($A$7:$A$150,A142)=1)),"需核对数值或ID",IF(OR(AND(O142&lt;&gt;"完成",W142=""),AND(J142&gt;0,W142=""),AND(V142&lt;&gt;"一致",W142="")),"待说明原因",IF(V142&lt;&gt;"一致","条件偏差","纳入"))))))))</x:f>
        <x:v>待运行</x:v>
      </x:c>
      <x:c r="AF142" s="13" t="n">
        <x:f>IF(AE142&lt;&gt;"纳入",0,INDEX('配对比较'!$J$7:$J$42,MATCH(B142,'配对比较'!$A$7:$A$42,0)))</x:f>
        <x:v>0</x:v>
      </x:c>
      <x:c r="AG142" s="13" t="n">
        <x:f>IF(AE142&lt;&gt;"纳入",0,INDEX('配对比较'!$L$7:$L$42,MATCH(B142,'配对比较'!$A$7:$A$42,0)))</x:f>
        <x:v>0</x:v>
      </x:c>
      <x:c r="AH142" s="13" t="str">
        <x:f>IF(INDEX('特性清单'!$B$7:$B$18,MATCH(C142,'特性清单'!$A$7:$A$18,0))="","",IF(INDEX('特性清单'!$J$7:$J$18,MATCH(C142,'特性清单'!$A$7:$A$18,0))="","",INDEX('特性清单'!$J$7:$J$18,MATCH(C142,'特性清单'!$A$7:$A$18,0))))</x:f>
      </x:c>
      <x:c r="AI142" s="10"/>
      <x:c r="AJ142" s="13" t="n">
        <x:f>IF(AND(ISNUMBER(U142),U142&gt;=0),1,0)</x:f>
        <x:v>0</x:v>
      </x:c>
      <x:c r="AK142" s="13" t="str">
        <x:f>IF(AE142&lt;&gt;"纳入","",IF(OR(O142="超时",AA142&gt;AH142),1,0))</x:f>
      </x:c>
    </x:row>
    <x:row r="143" ht="25" customHeight="1">
      <x:c r="A143" s="13" t="str">
        <x:v>F12-R2-CC</x:v>
      </x:c>
      <x:c r="B143" s="13" t="str">
        <x:v>F12-R2</x:v>
      </x:c>
      <x:c r="C143" s="13" t="str">
        <x:v>F12</x:v>
      </x:c>
      <x:c r="D143" s="58" t="n">
        <x:v>2</x:v>
      </x:c>
      <x:c r="E143" s="13" t="str">
        <x:v>Claude Code</x:v>
      </x:c>
      <x:c r="F143" s="10"/>
      <x:c r="G143" s="56"/>
      <x:c r="H143" s="45"/>
      <x:c r="I143" s="45"/>
      <x:c r="J143" s="48"/>
      <x:c r="K143" s="48"/>
      <x:c r="L143" s="48"/>
      <x:c r="M143" s="56"/>
      <x:c r="N143" s="56"/>
      <x:c r="O143" s="10"/>
      <x:c r="P143" s="56"/>
      <x:c r="Q143" s="56"/>
      <x:c r="R143" s="56"/>
      <x:c r="S143" s="10"/>
      <x:c r="T143" s="10"/>
      <x:c r="U143" s="53"/>
      <x:c r="V143" s="10"/>
      <x:c r="W143" s="10"/>
      <x:c r="X143" s="10"/>
      <x:c r="Y143" s="10"/>
      <x:c r="Z143" s="13" t="str">
        <x:f>IF(INDEX('特性清单'!$B$7:$B$18,MATCH(C143,'特性清单'!$A$7:$A$18,0))="","",IF(INDEX('特性清单'!$H$7:$H$18,MATCH(C143,'特性清单'!$A$7:$A$18,0))="","",INDEX('特性清单'!$H$7:$H$18,MATCH(C143,'特性清单'!$A$7:$A$18,0))))</x:f>
      </x:c>
      <x:c r="AA143" s="50" t="str">
        <x:f>IF(AND(COUNT(H143:J143)=3,I143&gt;=H143,J143&gt;=0),ROUND((I143-H143)*1440-J143,2),"")</x:f>
      </x:c>
      <x:c r="AB143" s="51" t="str">
        <x:f>IF(AND(ISNUMBER(P143),ISNUMBER(Z143),Z143&gt;0,P143&gt;=0,P143&lt;=Z143),P143/Z143,"")</x:f>
      </x:c>
      <x:c r="AC143" s="51" t="str">
        <x:f>IF(AND(ISNUMBER(Q143),ISNUMBER(Z143),Z143&gt;0,Q143&gt;=0,Q143&lt;=Z143),Q143/Z143,"")</x:f>
      </x:c>
      <x:c r="AD143" s="13" t="str">
        <x:f>IF(AE143&lt;&gt;"纳入","",IF(AND(O143="完成",AC143=1,R143=0,S143="通过",T143="通过",AA143&lt;=AH143),1,0))</x:f>
      </x:c>
      <x:c r="AE143" s="13" t="str">
        <x:f>IF(O143="","待运行",IF(O143="进行中","进行中",IF(NOT(OR(O143="完成",O143="超时",O143="工具故障",O143="主动终止")),"需核对终态",IF(OR('试点设置'!$C$15&lt;&gt;"齐备",INDEX('特性清单'!$P$7:$P$18,MATCH(C143,'特性清单'!$A$7:$A$18,0))&lt;&gt;"齐备",D143&gt;INDEX('特性清单'!$K$7:$K$18,MATCH(C143,'特性清单'!$A$7:$A$18,0))),"待补齐试验设置",IF(NOT(AND(F143&lt;&gt;"",COUNT(G143:N143)=8,COUNT(P143:R143)=3,S143&lt;&gt;"",T143&lt;&gt;"",V143&lt;&gt;"",X143&lt;&gt;"",Y143&lt;&gt;"",AI143&lt;&gt;"")),"待补齐记录",IF(NOT(AND(G143&gt;=1,G143&lt;=4,MOD(G143,1)=0,I143&gt;=H143,MIN(J143:N143)&gt;=0,MOD(M143,1)=0,MOD(N143,1)=0,AA143&gt;=0,K143&lt;=AA143,L143&lt;=K143,MIN(P143:R143)&gt;=0,MOD(P143,1)=0,MOD(Q143,1)=0,MOD(R143,1)=0,P143&lt;=Z143,Q143&lt;=Z143,OR(S143="通过",S143="失败",S143="未完成"),OR(T143="通过",T143="失败",T143="未完成"),OR(AI143="新手",AI143="偶尔使用",AI143="经常使用"),COUNTIFS($A$7:$A$150,A143)=1)),"需核对数值或ID",IF(OR(AND(O143&lt;&gt;"完成",W143=""),AND(J143&gt;0,W143=""),AND(V143&lt;&gt;"一致",W143="")),"待说明原因",IF(V143&lt;&gt;"一致","条件偏差","纳入"))))))))</x:f>
        <x:v>待运行</x:v>
      </x:c>
      <x:c r="AF143" s="13" t="n">
        <x:f>IF(AE143&lt;&gt;"纳入",0,INDEX('配对比较'!$J$7:$J$42,MATCH(B143,'配对比较'!$A$7:$A$42,0)))</x:f>
        <x:v>0</x:v>
      </x:c>
      <x:c r="AG143" s="13" t="n">
        <x:f>IF(AE143&lt;&gt;"纳入",0,INDEX('配对比较'!$L$7:$L$42,MATCH(B143,'配对比较'!$A$7:$A$42,0)))</x:f>
        <x:v>0</x:v>
      </x:c>
      <x:c r="AH143" s="13" t="str">
        <x:f>IF(INDEX('特性清单'!$B$7:$B$18,MATCH(C143,'特性清单'!$A$7:$A$18,0))="","",IF(INDEX('特性清单'!$J$7:$J$18,MATCH(C143,'特性清单'!$A$7:$A$18,0))="","",INDEX('特性清单'!$J$7:$J$18,MATCH(C143,'特性清单'!$A$7:$A$18,0))))</x:f>
      </x:c>
      <x:c r="AI143" s="10"/>
      <x:c r="AJ143" s="13" t="n">
        <x:f>IF(AND(ISNUMBER(U143),U143&gt;=0),1,0)</x:f>
        <x:v>0</x:v>
      </x:c>
      <x:c r="AK143" s="13" t="str">
        <x:f>IF(AE143&lt;&gt;"纳入","",IF(OR(O143="超时",AA143&gt;AH143),1,0))</x:f>
      </x:c>
    </x:row>
    <x:row r="144" ht="25" customHeight="1">
      <x:c r="A144" s="13" t="str">
        <x:v>F12-R2-CX</x:v>
      </x:c>
      <x:c r="B144" s="13" t="str">
        <x:v>F12-R2</x:v>
      </x:c>
      <x:c r="C144" s="13" t="str">
        <x:v>F12</x:v>
      </x:c>
      <x:c r="D144" s="58" t="n">
        <x:v>2</x:v>
      </x:c>
      <x:c r="E144" s="13" t="str">
        <x:v>Codex</x:v>
      </x:c>
      <x:c r="F144" s="10"/>
      <x:c r="G144" s="56"/>
      <x:c r="H144" s="45"/>
      <x:c r="I144" s="45"/>
      <x:c r="J144" s="48"/>
      <x:c r="K144" s="48"/>
      <x:c r="L144" s="48"/>
      <x:c r="M144" s="56"/>
      <x:c r="N144" s="56"/>
      <x:c r="O144" s="10"/>
      <x:c r="P144" s="56"/>
      <x:c r="Q144" s="56"/>
      <x:c r="R144" s="56"/>
      <x:c r="S144" s="10"/>
      <x:c r="T144" s="10"/>
      <x:c r="U144" s="53"/>
      <x:c r="V144" s="10"/>
      <x:c r="W144" s="10"/>
      <x:c r="X144" s="10"/>
      <x:c r="Y144" s="10"/>
      <x:c r="Z144" s="13" t="str">
        <x:f>IF(INDEX('特性清单'!$B$7:$B$18,MATCH(C144,'特性清单'!$A$7:$A$18,0))="","",IF(INDEX('特性清单'!$H$7:$H$18,MATCH(C144,'特性清单'!$A$7:$A$18,0))="","",INDEX('特性清单'!$H$7:$H$18,MATCH(C144,'特性清单'!$A$7:$A$18,0))))</x:f>
      </x:c>
      <x:c r="AA144" s="50" t="str">
        <x:f>IF(AND(COUNT(H144:J144)=3,I144&gt;=H144,J144&gt;=0),ROUND((I144-H144)*1440-J144,2),"")</x:f>
      </x:c>
      <x:c r="AB144" s="51" t="str">
        <x:f>IF(AND(ISNUMBER(P144),ISNUMBER(Z144),Z144&gt;0,P144&gt;=0,P144&lt;=Z144),P144/Z144,"")</x:f>
      </x:c>
      <x:c r="AC144" s="51" t="str">
        <x:f>IF(AND(ISNUMBER(Q144),ISNUMBER(Z144),Z144&gt;0,Q144&gt;=0,Q144&lt;=Z144),Q144/Z144,"")</x:f>
      </x:c>
      <x:c r="AD144" s="13" t="str">
        <x:f>IF(AE144&lt;&gt;"纳入","",IF(AND(O144="完成",AC144=1,R144=0,S144="通过",T144="通过",AA144&lt;=AH144),1,0))</x:f>
      </x:c>
      <x:c r="AE144" s="13" t="str">
        <x:f>IF(O144="","待运行",IF(O144="进行中","进行中",IF(NOT(OR(O144="完成",O144="超时",O144="工具故障",O144="主动终止")),"需核对终态",IF(OR('试点设置'!$C$15&lt;&gt;"齐备",INDEX('特性清单'!$P$7:$P$18,MATCH(C144,'特性清单'!$A$7:$A$18,0))&lt;&gt;"齐备",D144&gt;INDEX('特性清单'!$K$7:$K$18,MATCH(C144,'特性清单'!$A$7:$A$18,0))),"待补齐试验设置",IF(NOT(AND(F144&lt;&gt;"",COUNT(G144:N144)=8,COUNT(P144:R144)=3,S144&lt;&gt;"",T144&lt;&gt;"",V144&lt;&gt;"",X144&lt;&gt;"",Y144&lt;&gt;"",AI144&lt;&gt;"")),"待补齐记录",IF(NOT(AND(G144&gt;=1,G144&lt;=4,MOD(G144,1)=0,I144&gt;=H144,MIN(J144:N144)&gt;=0,MOD(M144,1)=0,MOD(N144,1)=0,AA144&gt;=0,K144&lt;=AA144,L144&lt;=K144,MIN(P144:R144)&gt;=0,MOD(P144,1)=0,MOD(Q144,1)=0,MOD(R144,1)=0,P144&lt;=Z144,Q144&lt;=Z144,OR(S144="通过",S144="失败",S144="未完成"),OR(T144="通过",T144="失败",T144="未完成"),OR(AI144="新手",AI144="偶尔使用",AI144="经常使用"),COUNTIFS($A$7:$A$150,A144)=1)),"需核对数值或ID",IF(OR(AND(O144&lt;&gt;"完成",W144=""),AND(J144&gt;0,W144=""),AND(V144&lt;&gt;"一致",W144="")),"待说明原因",IF(V144&lt;&gt;"一致","条件偏差","纳入"))))))))</x:f>
        <x:v>待运行</x:v>
      </x:c>
      <x:c r="AF144" s="13" t="n">
        <x:f>IF(AE144&lt;&gt;"纳入",0,INDEX('配对比较'!$J$7:$J$42,MATCH(B144,'配对比较'!$A$7:$A$42,0)))</x:f>
        <x:v>0</x:v>
      </x:c>
      <x:c r="AG144" s="13" t="n">
        <x:f>IF(AE144&lt;&gt;"纳入",0,INDEX('配对比较'!$L$7:$L$42,MATCH(B144,'配对比较'!$A$7:$A$42,0)))</x:f>
        <x:v>0</x:v>
      </x:c>
      <x:c r="AH144" s="13" t="str">
        <x:f>IF(INDEX('特性清单'!$B$7:$B$18,MATCH(C144,'特性清单'!$A$7:$A$18,0))="","",IF(INDEX('特性清单'!$J$7:$J$18,MATCH(C144,'特性清单'!$A$7:$A$18,0))="","",INDEX('特性清单'!$J$7:$J$18,MATCH(C144,'特性清单'!$A$7:$A$18,0))))</x:f>
      </x:c>
      <x:c r="AI144" s="10"/>
      <x:c r="AJ144" s="13" t="n">
        <x:f>IF(AND(ISNUMBER(U144),U144&gt;=0),1,0)</x:f>
        <x:v>0</x:v>
      </x:c>
      <x:c r="AK144" s="13" t="str">
        <x:f>IF(AE144&lt;&gt;"纳入","",IF(OR(O144="超时",AA144&gt;AH144),1,0))</x:f>
      </x:c>
    </x:row>
    <x:row r="145" ht="25" customHeight="1">
      <x:c r="A145" s="13" t="str">
        <x:v>F12-R2-TR</x:v>
      </x:c>
      <x:c r="B145" s="13" t="str">
        <x:v>F12-R2</x:v>
      </x:c>
      <x:c r="C145" s="13" t="str">
        <x:v>F12</x:v>
      </x:c>
      <x:c r="D145" s="58" t="n">
        <x:v>2</x:v>
      </x:c>
      <x:c r="E145" s="13" t="str">
        <x:v>Trae</x:v>
      </x:c>
      <x:c r="F145" s="10"/>
      <x:c r="G145" s="56"/>
      <x:c r="H145" s="45"/>
      <x:c r="I145" s="45"/>
      <x:c r="J145" s="48"/>
      <x:c r="K145" s="48"/>
      <x:c r="L145" s="48"/>
      <x:c r="M145" s="56"/>
      <x:c r="N145" s="56"/>
      <x:c r="O145" s="10"/>
      <x:c r="P145" s="56"/>
      <x:c r="Q145" s="56"/>
      <x:c r="R145" s="56"/>
      <x:c r="S145" s="10"/>
      <x:c r="T145" s="10"/>
      <x:c r="U145" s="53"/>
      <x:c r="V145" s="10"/>
      <x:c r="W145" s="10"/>
      <x:c r="X145" s="10"/>
      <x:c r="Y145" s="10"/>
      <x:c r="Z145" s="13" t="str">
        <x:f>IF(INDEX('特性清单'!$B$7:$B$18,MATCH(C145,'特性清单'!$A$7:$A$18,0))="","",IF(INDEX('特性清单'!$H$7:$H$18,MATCH(C145,'特性清单'!$A$7:$A$18,0))="","",INDEX('特性清单'!$H$7:$H$18,MATCH(C145,'特性清单'!$A$7:$A$18,0))))</x:f>
      </x:c>
      <x:c r="AA145" s="50" t="str">
        <x:f>IF(AND(COUNT(H145:J145)=3,I145&gt;=H145,J145&gt;=0),ROUND((I145-H145)*1440-J145,2),"")</x:f>
      </x:c>
      <x:c r="AB145" s="51" t="str">
        <x:f>IF(AND(ISNUMBER(P145),ISNUMBER(Z145),Z145&gt;0,P145&gt;=0,P145&lt;=Z145),P145/Z145,"")</x:f>
      </x:c>
      <x:c r="AC145" s="51" t="str">
        <x:f>IF(AND(ISNUMBER(Q145),ISNUMBER(Z145),Z145&gt;0,Q145&gt;=0,Q145&lt;=Z145),Q145/Z145,"")</x:f>
      </x:c>
      <x:c r="AD145" s="13" t="str">
        <x:f>IF(AE145&lt;&gt;"纳入","",IF(AND(O145="完成",AC145=1,R145=0,S145="通过",T145="通过",AA145&lt;=AH145),1,0))</x:f>
      </x:c>
      <x:c r="AE145" s="13" t="str">
        <x:f>IF(O145="","待运行",IF(O145="进行中","进行中",IF(NOT(OR(O145="完成",O145="超时",O145="工具故障",O145="主动终止")),"需核对终态",IF(OR('试点设置'!$C$15&lt;&gt;"齐备",INDEX('特性清单'!$P$7:$P$18,MATCH(C145,'特性清单'!$A$7:$A$18,0))&lt;&gt;"齐备",D145&gt;INDEX('特性清单'!$K$7:$K$18,MATCH(C145,'特性清单'!$A$7:$A$18,0))),"待补齐试验设置",IF(NOT(AND(F145&lt;&gt;"",COUNT(G145:N145)=8,COUNT(P145:R145)=3,S145&lt;&gt;"",T145&lt;&gt;"",V145&lt;&gt;"",X145&lt;&gt;"",Y145&lt;&gt;"",AI145&lt;&gt;"")),"待补齐记录",IF(NOT(AND(G145&gt;=1,G145&lt;=4,MOD(G145,1)=0,I145&gt;=H145,MIN(J145:N145)&gt;=0,MOD(M145,1)=0,MOD(N145,1)=0,AA145&gt;=0,K145&lt;=AA145,L145&lt;=K145,MIN(P145:R145)&gt;=0,MOD(P145,1)=0,MOD(Q145,1)=0,MOD(R145,1)=0,P145&lt;=Z145,Q145&lt;=Z145,OR(S145="通过",S145="失败",S145="未完成"),OR(T145="通过",T145="失败",T145="未完成"),OR(AI145="新手",AI145="偶尔使用",AI145="经常使用"),COUNTIFS($A$7:$A$150,A145)=1)),"需核对数值或ID",IF(OR(AND(O145&lt;&gt;"完成",W145=""),AND(J145&gt;0,W145=""),AND(V145&lt;&gt;"一致",W145="")),"待说明原因",IF(V145&lt;&gt;"一致","条件偏差","纳入"))))))))</x:f>
        <x:v>待运行</x:v>
      </x:c>
      <x:c r="AF145" s="13" t="n">
        <x:f>IF(AE145&lt;&gt;"纳入",0,INDEX('配对比较'!$J$7:$J$42,MATCH(B145,'配对比较'!$A$7:$A$42,0)))</x:f>
        <x:v>0</x:v>
      </x:c>
      <x:c r="AG145" s="13" t="n">
        <x:f>IF(AE145&lt;&gt;"纳入",0,INDEX('配对比较'!$L$7:$L$42,MATCH(B145,'配对比较'!$A$7:$A$42,0)))</x:f>
        <x:v>0</x:v>
      </x:c>
      <x:c r="AH145" s="13" t="str">
        <x:f>IF(INDEX('特性清单'!$B$7:$B$18,MATCH(C145,'特性清单'!$A$7:$A$18,0))="","",IF(INDEX('特性清单'!$J$7:$J$18,MATCH(C145,'特性清单'!$A$7:$A$18,0))="","",INDEX('特性清单'!$J$7:$J$18,MATCH(C145,'特性清单'!$A$7:$A$18,0))))</x:f>
      </x:c>
      <x:c r="AI145" s="10"/>
      <x:c r="AJ145" s="13" t="n">
        <x:f>IF(AND(ISNUMBER(U145),U145&gt;=0),1,0)</x:f>
        <x:v>0</x:v>
      </x:c>
      <x:c r="AK145" s="13" t="str">
        <x:f>IF(AE145&lt;&gt;"纳入","",IF(OR(O145="超时",AA145&gt;AH145),1,0))</x:f>
      </x:c>
    </x:row>
    <x:row r="146" ht="25" customHeight="1">
      <x:c r="A146" s="13" t="str">
        <x:v>F12-R2-CA</x:v>
      </x:c>
      <x:c r="B146" s="13" t="str">
        <x:v>F12-R2</x:v>
      </x:c>
      <x:c r="C146" s="13" t="str">
        <x:v>F12</x:v>
      </x:c>
      <x:c r="D146" s="58" t="n">
        <x:v>2</x:v>
      </x:c>
      <x:c r="E146" s="13" t="str">
        <x:v>CodeArts</x:v>
      </x:c>
      <x:c r="F146" s="10"/>
      <x:c r="G146" s="56"/>
      <x:c r="H146" s="45"/>
      <x:c r="I146" s="45"/>
      <x:c r="J146" s="48"/>
      <x:c r="K146" s="48"/>
      <x:c r="L146" s="48"/>
      <x:c r="M146" s="56"/>
      <x:c r="N146" s="56"/>
      <x:c r="O146" s="10"/>
      <x:c r="P146" s="56"/>
      <x:c r="Q146" s="56"/>
      <x:c r="R146" s="56"/>
      <x:c r="S146" s="10"/>
      <x:c r="T146" s="10"/>
      <x:c r="U146" s="53"/>
      <x:c r="V146" s="10"/>
      <x:c r="W146" s="10"/>
      <x:c r="X146" s="10"/>
      <x:c r="Y146" s="10"/>
      <x:c r="Z146" s="13" t="str">
        <x:f>IF(INDEX('特性清单'!$B$7:$B$18,MATCH(C146,'特性清单'!$A$7:$A$18,0))="","",IF(INDEX('特性清单'!$H$7:$H$18,MATCH(C146,'特性清单'!$A$7:$A$18,0))="","",INDEX('特性清单'!$H$7:$H$18,MATCH(C146,'特性清单'!$A$7:$A$18,0))))</x:f>
      </x:c>
      <x:c r="AA146" s="50" t="str">
        <x:f>IF(AND(COUNT(H146:J146)=3,I146&gt;=H146,J146&gt;=0),ROUND((I146-H146)*1440-J146,2),"")</x:f>
      </x:c>
      <x:c r="AB146" s="51" t="str">
        <x:f>IF(AND(ISNUMBER(P146),ISNUMBER(Z146),Z146&gt;0,P146&gt;=0,P146&lt;=Z146),P146/Z146,"")</x:f>
      </x:c>
      <x:c r="AC146" s="51" t="str">
        <x:f>IF(AND(ISNUMBER(Q146),ISNUMBER(Z146),Z146&gt;0,Q146&gt;=0,Q146&lt;=Z146),Q146/Z146,"")</x:f>
      </x:c>
      <x:c r="AD146" s="13" t="str">
        <x:f>IF(AE146&lt;&gt;"纳入","",IF(AND(O146="完成",AC146=1,R146=0,S146="通过",T146="通过",AA146&lt;=AH146),1,0))</x:f>
      </x:c>
      <x:c r="AE146" s="13" t="str">
        <x:f>IF(O146="","待运行",IF(O146="进行中","进行中",IF(NOT(OR(O146="完成",O146="超时",O146="工具故障",O146="主动终止")),"需核对终态",IF(OR('试点设置'!$C$15&lt;&gt;"齐备",INDEX('特性清单'!$P$7:$P$18,MATCH(C146,'特性清单'!$A$7:$A$18,0))&lt;&gt;"齐备",D146&gt;INDEX('特性清单'!$K$7:$K$18,MATCH(C146,'特性清单'!$A$7:$A$18,0))),"待补齐试验设置",IF(NOT(AND(F146&lt;&gt;"",COUNT(G146:N146)=8,COUNT(P146:R146)=3,S146&lt;&gt;"",T146&lt;&gt;"",V146&lt;&gt;"",X146&lt;&gt;"",Y146&lt;&gt;"",AI146&lt;&gt;"")),"待补齐记录",IF(NOT(AND(G146&gt;=1,G146&lt;=4,MOD(G146,1)=0,I146&gt;=H146,MIN(J146:N146)&gt;=0,MOD(M146,1)=0,MOD(N146,1)=0,AA146&gt;=0,K146&lt;=AA146,L146&lt;=K146,MIN(P146:R146)&gt;=0,MOD(P146,1)=0,MOD(Q146,1)=0,MOD(R146,1)=0,P146&lt;=Z146,Q146&lt;=Z146,OR(S146="通过",S146="失败",S146="未完成"),OR(T146="通过",T146="失败",T146="未完成"),OR(AI146="新手",AI146="偶尔使用",AI146="经常使用"),COUNTIFS($A$7:$A$150,A146)=1)),"需核对数值或ID",IF(OR(AND(O146&lt;&gt;"完成",W146=""),AND(J146&gt;0,W146=""),AND(V146&lt;&gt;"一致",W146="")),"待说明原因",IF(V146&lt;&gt;"一致","条件偏差","纳入"))))))))</x:f>
        <x:v>待运行</x:v>
      </x:c>
      <x:c r="AF146" s="13" t="n">
        <x:f>IF(AE146&lt;&gt;"纳入",0,INDEX('配对比较'!$J$7:$J$42,MATCH(B146,'配对比较'!$A$7:$A$42,0)))</x:f>
        <x:v>0</x:v>
      </x:c>
      <x:c r="AG146" s="13" t="n">
        <x:f>IF(AE146&lt;&gt;"纳入",0,INDEX('配对比较'!$L$7:$L$42,MATCH(B146,'配对比较'!$A$7:$A$42,0)))</x:f>
        <x:v>0</x:v>
      </x:c>
      <x:c r="AH146" s="13" t="str">
        <x:f>IF(INDEX('特性清单'!$B$7:$B$18,MATCH(C146,'特性清单'!$A$7:$A$18,0))="","",IF(INDEX('特性清单'!$J$7:$J$18,MATCH(C146,'特性清单'!$A$7:$A$18,0))="","",INDEX('特性清单'!$J$7:$J$18,MATCH(C146,'特性清单'!$A$7:$A$18,0))))</x:f>
      </x:c>
      <x:c r="AI146" s="10"/>
      <x:c r="AJ146" s="13" t="n">
        <x:f>IF(AND(ISNUMBER(U146),U146&gt;=0),1,0)</x:f>
        <x:v>0</x:v>
      </x:c>
      <x:c r="AK146" s="13" t="str">
        <x:f>IF(AE146&lt;&gt;"纳入","",IF(OR(O146="超时",AA146&gt;AH146),1,0))</x:f>
      </x:c>
    </x:row>
    <x:row r="147" ht="25" customHeight="1">
      <x:c r="A147" s="13" t="str">
        <x:v>F12-R3-CC</x:v>
      </x:c>
      <x:c r="B147" s="13" t="str">
        <x:v>F12-R3</x:v>
      </x:c>
      <x:c r="C147" s="13" t="str">
        <x:v>F12</x:v>
      </x:c>
      <x:c r="D147" s="58" t="n">
        <x:v>3</x:v>
      </x:c>
      <x:c r="E147" s="13" t="str">
        <x:v>Claude Code</x:v>
      </x:c>
      <x:c r="F147" s="10"/>
      <x:c r="G147" s="56"/>
      <x:c r="H147" s="45"/>
      <x:c r="I147" s="45"/>
      <x:c r="J147" s="48"/>
      <x:c r="K147" s="48"/>
      <x:c r="L147" s="48"/>
      <x:c r="M147" s="56"/>
      <x:c r="N147" s="56"/>
      <x:c r="O147" s="10"/>
      <x:c r="P147" s="56"/>
      <x:c r="Q147" s="56"/>
      <x:c r="R147" s="56"/>
      <x:c r="S147" s="10"/>
      <x:c r="T147" s="10"/>
      <x:c r="U147" s="53"/>
      <x:c r="V147" s="10"/>
      <x:c r="W147" s="10"/>
      <x:c r="X147" s="10"/>
      <x:c r="Y147" s="10"/>
      <x:c r="Z147" s="13" t="str">
        <x:f>IF(INDEX('特性清单'!$B$7:$B$18,MATCH(C147,'特性清单'!$A$7:$A$18,0))="","",IF(INDEX('特性清单'!$H$7:$H$18,MATCH(C147,'特性清单'!$A$7:$A$18,0))="","",INDEX('特性清单'!$H$7:$H$18,MATCH(C147,'特性清单'!$A$7:$A$18,0))))</x:f>
      </x:c>
      <x:c r="AA147" s="50" t="str">
        <x:f>IF(AND(COUNT(H147:J147)=3,I147&gt;=H147,J147&gt;=0),ROUND((I147-H147)*1440-J147,2),"")</x:f>
      </x:c>
      <x:c r="AB147" s="51" t="str">
        <x:f>IF(AND(ISNUMBER(P147),ISNUMBER(Z147),Z147&gt;0,P147&gt;=0,P147&lt;=Z147),P147/Z147,"")</x:f>
      </x:c>
      <x:c r="AC147" s="51" t="str">
        <x:f>IF(AND(ISNUMBER(Q147),ISNUMBER(Z147),Z147&gt;0,Q147&gt;=0,Q147&lt;=Z147),Q147/Z147,"")</x:f>
      </x:c>
      <x:c r="AD147" s="13" t="str">
        <x:f>IF(AE147&lt;&gt;"纳入","",IF(AND(O147="完成",AC147=1,R147=0,S147="通过",T147="通过",AA147&lt;=AH147),1,0))</x:f>
      </x:c>
      <x:c r="AE147" s="13" t="str">
        <x:f>IF(O147="","待运行",IF(O147="进行中","进行中",IF(NOT(OR(O147="完成",O147="超时",O147="工具故障",O147="主动终止")),"需核对终态",IF(OR('试点设置'!$C$15&lt;&gt;"齐备",INDEX('特性清单'!$P$7:$P$18,MATCH(C147,'特性清单'!$A$7:$A$18,0))&lt;&gt;"齐备",D147&gt;INDEX('特性清单'!$K$7:$K$18,MATCH(C147,'特性清单'!$A$7:$A$18,0))),"待补齐试验设置",IF(NOT(AND(F147&lt;&gt;"",COUNT(G147:N147)=8,COUNT(P147:R147)=3,S147&lt;&gt;"",T147&lt;&gt;"",V147&lt;&gt;"",X147&lt;&gt;"",Y147&lt;&gt;"",AI147&lt;&gt;"")),"待补齐记录",IF(NOT(AND(G147&gt;=1,G147&lt;=4,MOD(G147,1)=0,I147&gt;=H147,MIN(J147:N147)&gt;=0,MOD(M147,1)=0,MOD(N147,1)=0,AA147&gt;=0,K147&lt;=AA147,L147&lt;=K147,MIN(P147:R147)&gt;=0,MOD(P147,1)=0,MOD(Q147,1)=0,MOD(R147,1)=0,P147&lt;=Z147,Q147&lt;=Z147,OR(S147="通过",S147="失败",S147="未完成"),OR(T147="通过",T147="失败",T147="未完成"),OR(AI147="新手",AI147="偶尔使用",AI147="经常使用"),COUNTIFS($A$7:$A$150,A147)=1)),"需核对数值或ID",IF(OR(AND(O147&lt;&gt;"完成",W147=""),AND(J147&gt;0,W147=""),AND(V147&lt;&gt;"一致",W147="")),"待说明原因",IF(V147&lt;&gt;"一致","条件偏差","纳入"))))))))</x:f>
        <x:v>待运行</x:v>
      </x:c>
      <x:c r="AF147" s="13" t="n">
        <x:f>IF(AE147&lt;&gt;"纳入",0,INDEX('配对比较'!$J$7:$J$42,MATCH(B147,'配对比较'!$A$7:$A$42,0)))</x:f>
        <x:v>0</x:v>
      </x:c>
      <x:c r="AG147" s="13" t="n">
        <x:f>IF(AE147&lt;&gt;"纳入",0,INDEX('配对比较'!$L$7:$L$42,MATCH(B147,'配对比较'!$A$7:$A$42,0)))</x:f>
        <x:v>0</x:v>
      </x:c>
      <x:c r="AH147" s="13" t="str">
        <x:f>IF(INDEX('特性清单'!$B$7:$B$18,MATCH(C147,'特性清单'!$A$7:$A$18,0))="","",IF(INDEX('特性清单'!$J$7:$J$18,MATCH(C147,'特性清单'!$A$7:$A$18,0))="","",INDEX('特性清单'!$J$7:$J$18,MATCH(C147,'特性清单'!$A$7:$A$18,0))))</x:f>
      </x:c>
      <x:c r="AI147" s="10"/>
      <x:c r="AJ147" s="13" t="n">
        <x:f>IF(AND(ISNUMBER(U147),U147&gt;=0),1,0)</x:f>
        <x:v>0</x:v>
      </x:c>
      <x:c r="AK147" s="13" t="str">
        <x:f>IF(AE147&lt;&gt;"纳入","",IF(OR(O147="超时",AA147&gt;AH147),1,0))</x:f>
      </x:c>
    </x:row>
    <x:row r="148" ht="25" customHeight="1">
      <x:c r="A148" s="13" t="str">
        <x:v>F12-R3-CX</x:v>
      </x:c>
      <x:c r="B148" s="13" t="str">
        <x:v>F12-R3</x:v>
      </x:c>
      <x:c r="C148" s="13" t="str">
        <x:v>F12</x:v>
      </x:c>
      <x:c r="D148" s="58" t="n">
        <x:v>3</x:v>
      </x:c>
      <x:c r="E148" s="13" t="str">
        <x:v>Codex</x:v>
      </x:c>
      <x:c r="F148" s="10"/>
      <x:c r="G148" s="56"/>
      <x:c r="H148" s="45"/>
      <x:c r="I148" s="45"/>
      <x:c r="J148" s="48"/>
      <x:c r="K148" s="48"/>
      <x:c r="L148" s="48"/>
      <x:c r="M148" s="56"/>
      <x:c r="N148" s="56"/>
      <x:c r="O148" s="10"/>
      <x:c r="P148" s="56"/>
      <x:c r="Q148" s="56"/>
      <x:c r="R148" s="56"/>
      <x:c r="S148" s="10"/>
      <x:c r="T148" s="10"/>
      <x:c r="U148" s="53"/>
      <x:c r="V148" s="10"/>
      <x:c r="W148" s="10"/>
      <x:c r="X148" s="10"/>
      <x:c r="Y148" s="10"/>
      <x:c r="Z148" s="13" t="str">
        <x:f>IF(INDEX('特性清单'!$B$7:$B$18,MATCH(C148,'特性清单'!$A$7:$A$18,0))="","",IF(INDEX('特性清单'!$H$7:$H$18,MATCH(C148,'特性清单'!$A$7:$A$18,0))="","",INDEX('特性清单'!$H$7:$H$18,MATCH(C148,'特性清单'!$A$7:$A$18,0))))</x:f>
      </x:c>
      <x:c r="AA148" s="50" t="str">
        <x:f>IF(AND(COUNT(H148:J148)=3,I148&gt;=H148,J148&gt;=0),ROUND((I148-H148)*1440-J148,2),"")</x:f>
      </x:c>
      <x:c r="AB148" s="51" t="str">
        <x:f>IF(AND(ISNUMBER(P148),ISNUMBER(Z148),Z148&gt;0,P148&gt;=0,P148&lt;=Z148),P148/Z148,"")</x:f>
      </x:c>
      <x:c r="AC148" s="51" t="str">
        <x:f>IF(AND(ISNUMBER(Q148),ISNUMBER(Z148),Z148&gt;0,Q148&gt;=0,Q148&lt;=Z148),Q148/Z148,"")</x:f>
      </x:c>
      <x:c r="AD148" s="13" t="str">
        <x:f>IF(AE148&lt;&gt;"纳入","",IF(AND(O148="完成",AC148=1,R148=0,S148="通过",T148="通过",AA148&lt;=AH148),1,0))</x:f>
      </x:c>
      <x:c r="AE148" s="13" t="str">
        <x:f>IF(O148="","待运行",IF(O148="进行中","进行中",IF(NOT(OR(O148="完成",O148="超时",O148="工具故障",O148="主动终止")),"需核对终态",IF(OR('试点设置'!$C$15&lt;&gt;"齐备",INDEX('特性清单'!$P$7:$P$18,MATCH(C148,'特性清单'!$A$7:$A$18,0))&lt;&gt;"齐备",D148&gt;INDEX('特性清单'!$K$7:$K$18,MATCH(C148,'特性清单'!$A$7:$A$18,0))),"待补齐试验设置",IF(NOT(AND(F148&lt;&gt;"",COUNT(G148:N148)=8,COUNT(P148:R148)=3,S148&lt;&gt;"",T148&lt;&gt;"",V148&lt;&gt;"",X148&lt;&gt;"",Y148&lt;&gt;"",AI148&lt;&gt;"")),"待补齐记录",IF(NOT(AND(G148&gt;=1,G148&lt;=4,MOD(G148,1)=0,I148&gt;=H148,MIN(J148:N148)&gt;=0,MOD(M148,1)=0,MOD(N148,1)=0,AA148&gt;=0,K148&lt;=AA148,L148&lt;=K148,MIN(P148:R148)&gt;=0,MOD(P148,1)=0,MOD(Q148,1)=0,MOD(R148,1)=0,P148&lt;=Z148,Q148&lt;=Z148,OR(S148="通过",S148="失败",S148="未完成"),OR(T148="通过",T148="失败",T148="未完成"),OR(AI148="新手",AI148="偶尔使用",AI148="经常使用"),COUNTIFS($A$7:$A$150,A148)=1)),"需核对数值或ID",IF(OR(AND(O148&lt;&gt;"完成",W148=""),AND(J148&gt;0,W148=""),AND(V148&lt;&gt;"一致",W148="")),"待说明原因",IF(V148&lt;&gt;"一致","条件偏差","纳入"))))))))</x:f>
        <x:v>待运行</x:v>
      </x:c>
      <x:c r="AF148" s="13" t="n">
        <x:f>IF(AE148&lt;&gt;"纳入",0,INDEX('配对比较'!$J$7:$J$42,MATCH(B148,'配对比较'!$A$7:$A$42,0)))</x:f>
        <x:v>0</x:v>
      </x:c>
      <x:c r="AG148" s="13" t="n">
        <x:f>IF(AE148&lt;&gt;"纳入",0,INDEX('配对比较'!$L$7:$L$42,MATCH(B148,'配对比较'!$A$7:$A$42,0)))</x:f>
        <x:v>0</x:v>
      </x:c>
      <x:c r="AH148" s="13" t="str">
        <x:f>IF(INDEX('特性清单'!$B$7:$B$18,MATCH(C148,'特性清单'!$A$7:$A$18,0))="","",IF(INDEX('特性清单'!$J$7:$J$18,MATCH(C148,'特性清单'!$A$7:$A$18,0))="","",INDEX('特性清单'!$J$7:$J$18,MATCH(C148,'特性清单'!$A$7:$A$18,0))))</x:f>
      </x:c>
      <x:c r="AI148" s="10"/>
      <x:c r="AJ148" s="13" t="n">
        <x:f>IF(AND(ISNUMBER(U148),U148&gt;=0),1,0)</x:f>
        <x:v>0</x:v>
      </x:c>
      <x:c r="AK148" s="13" t="str">
        <x:f>IF(AE148&lt;&gt;"纳入","",IF(OR(O148="超时",AA148&gt;AH148),1,0))</x:f>
      </x:c>
    </x:row>
    <x:row r="149" ht="25" customHeight="1">
      <x:c r="A149" s="13" t="str">
        <x:v>F12-R3-TR</x:v>
      </x:c>
      <x:c r="B149" s="13" t="str">
        <x:v>F12-R3</x:v>
      </x:c>
      <x:c r="C149" s="13" t="str">
        <x:v>F12</x:v>
      </x:c>
      <x:c r="D149" s="58" t="n">
        <x:v>3</x:v>
      </x:c>
      <x:c r="E149" s="13" t="str">
        <x:v>Trae</x:v>
      </x:c>
      <x:c r="F149" s="10"/>
      <x:c r="G149" s="56"/>
      <x:c r="H149" s="45"/>
      <x:c r="I149" s="45"/>
      <x:c r="J149" s="48"/>
      <x:c r="K149" s="48"/>
      <x:c r="L149" s="48"/>
      <x:c r="M149" s="56"/>
      <x:c r="N149" s="56"/>
      <x:c r="O149" s="10"/>
      <x:c r="P149" s="56"/>
      <x:c r="Q149" s="56"/>
      <x:c r="R149" s="56"/>
      <x:c r="S149" s="10"/>
      <x:c r="T149" s="10"/>
      <x:c r="U149" s="53"/>
      <x:c r="V149" s="10"/>
      <x:c r="W149" s="10"/>
      <x:c r="X149" s="10"/>
      <x:c r="Y149" s="10"/>
      <x:c r="Z149" s="13" t="str">
        <x:f>IF(INDEX('特性清单'!$B$7:$B$18,MATCH(C149,'特性清单'!$A$7:$A$18,0))="","",IF(INDEX('特性清单'!$H$7:$H$18,MATCH(C149,'特性清单'!$A$7:$A$18,0))="","",INDEX('特性清单'!$H$7:$H$18,MATCH(C149,'特性清单'!$A$7:$A$18,0))))</x:f>
      </x:c>
      <x:c r="AA149" s="50" t="str">
        <x:f>IF(AND(COUNT(H149:J149)=3,I149&gt;=H149,J149&gt;=0),ROUND((I149-H149)*1440-J149,2),"")</x:f>
      </x:c>
      <x:c r="AB149" s="51" t="str">
        <x:f>IF(AND(ISNUMBER(P149),ISNUMBER(Z149),Z149&gt;0,P149&gt;=0,P149&lt;=Z149),P149/Z149,"")</x:f>
      </x:c>
      <x:c r="AC149" s="51" t="str">
        <x:f>IF(AND(ISNUMBER(Q149),ISNUMBER(Z149),Z149&gt;0,Q149&gt;=0,Q149&lt;=Z149),Q149/Z149,"")</x:f>
      </x:c>
      <x:c r="AD149" s="13" t="str">
        <x:f>IF(AE149&lt;&gt;"纳入","",IF(AND(O149="完成",AC149=1,R149=0,S149="通过",T149="通过",AA149&lt;=AH149),1,0))</x:f>
      </x:c>
      <x:c r="AE149" s="13" t="str">
        <x:f>IF(O149="","待运行",IF(O149="进行中","进行中",IF(NOT(OR(O149="完成",O149="超时",O149="工具故障",O149="主动终止")),"需核对终态",IF(OR('试点设置'!$C$15&lt;&gt;"齐备",INDEX('特性清单'!$P$7:$P$18,MATCH(C149,'特性清单'!$A$7:$A$18,0))&lt;&gt;"齐备",D149&gt;INDEX('特性清单'!$K$7:$K$18,MATCH(C149,'特性清单'!$A$7:$A$18,0))),"待补齐试验设置",IF(NOT(AND(F149&lt;&gt;"",COUNT(G149:N149)=8,COUNT(P149:R149)=3,S149&lt;&gt;"",T149&lt;&gt;"",V149&lt;&gt;"",X149&lt;&gt;"",Y149&lt;&gt;"",AI149&lt;&gt;"")),"待补齐记录",IF(NOT(AND(G149&gt;=1,G149&lt;=4,MOD(G149,1)=0,I149&gt;=H149,MIN(J149:N149)&gt;=0,MOD(M149,1)=0,MOD(N149,1)=0,AA149&gt;=0,K149&lt;=AA149,L149&lt;=K149,MIN(P149:R149)&gt;=0,MOD(P149,1)=0,MOD(Q149,1)=0,MOD(R149,1)=0,P149&lt;=Z149,Q149&lt;=Z149,OR(S149="通过",S149="失败",S149="未完成"),OR(T149="通过",T149="失败",T149="未完成"),OR(AI149="新手",AI149="偶尔使用",AI149="经常使用"),COUNTIFS($A$7:$A$150,A149)=1)),"需核对数值或ID",IF(OR(AND(O149&lt;&gt;"完成",W149=""),AND(J149&gt;0,W149=""),AND(V149&lt;&gt;"一致",W149="")),"待说明原因",IF(V149&lt;&gt;"一致","条件偏差","纳入"))))))))</x:f>
        <x:v>待运行</x:v>
      </x:c>
      <x:c r="AF149" s="13" t="n">
        <x:f>IF(AE149&lt;&gt;"纳入",0,INDEX('配对比较'!$J$7:$J$42,MATCH(B149,'配对比较'!$A$7:$A$42,0)))</x:f>
        <x:v>0</x:v>
      </x:c>
      <x:c r="AG149" s="13" t="n">
        <x:f>IF(AE149&lt;&gt;"纳入",0,INDEX('配对比较'!$L$7:$L$42,MATCH(B149,'配对比较'!$A$7:$A$42,0)))</x:f>
        <x:v>0</x:v>
      </x:c>
      <x:c r="AH149" s="13" t="str">
        <x:f>IF(INDEX('特性清单'!$B$7:$B$18,MATCH(C149,'特性清单'!$A$7:$A$18,0))="","",IF(INDEX('特性清单'!$J$7:$J$18,MATCH(C149,'特性清单'!$A$7:$A$18,0))="","",INDEX('特性清单'!$J$7:$J$18,MATCH(C149,'特性清单'!$A$7:$A$18,0))))</x:f>
      </x:c>
      <x:c r="AI149" s="10"/>
      <x:c r="AJ149" s="13" t="n">
        <x:f>IF(AND(ISNUMBER(U149),U149&gt;=0),1,0)</x:f>
        <x:v>0</x:v>
      </x:c>
      <x:c r="AK149" s="13" t="str">
        <x:f>IF(AE149&lt;&gt;"纳入","",IF(OR(O149="超时",AA149&gt;AH149),1,0))</x:f>
      </x:c>
    </x:row>
    <x:row r="150" ht="25" customHeight="1">
      <x:c r="A150" s="13" t="str">
        <x:v>F12-R3-CA</x:v>
      </x:c>
      <x:c r="B150" s="13" t="str">
        <x:v>F12-R3</x:v>
      </x:c>
      <x:c r="C150" s="13" t="str">
        <x:v>F12</x:v>
      </x:c>
      <x:c r="D150" s="58" t="n">
        <x:v>3</x:v>
      </x:c>
      <x:c r="E150" s="13" t="str">
        <x:v>CodeArts</x:v>
      </x:c>
      <x:c r="F150" s="11"/>
      <x:c r="G150" s="57"/>
      <x:c r="H150" s="46"/>
      <x:c r="I150" s="46"/>
      <x:c r="J150" s="49"/>
      <x:c r="K150" s="49"/>
      <x:c r="L150" s="49"/>
      <x:c r="M150" s="57"/>
      <x:c r="N150" s="57"/>
      <x:c r="O150" s="11"/>
      <x:c r="P150" s="57"/>
      <x:c r="Q150" s="57"/>
      <x:c r="R150" s="57"/>
      <x:c r="S150" s="11"/>
      <x:c r="T150" s="11"/>
      <x:c r="U150" s="54"/>
      <x:c r="V150" s="11"/>
      <x:c r="W150" s="11"/>
      <x:c r="X150" s="11"/>
      <x:c r="Y150" s="11"/>
      <x:c r="Z150" s="13" t="str">
        <x:f>IF(INDEX('特性清单'!$B$7:$B$18,MATCH(C150,'特性清单'!$A$7:$A$18,0))="","",IF(INDEX('特性清单'!$H$7:$H$18,MATCH(C150,'特性清单'!$A$7:$A$18,0))="","",INDEX('特性清单'!$H$7:$H$18,MATCH(C150,'特性清单'!$A$7:$A$18,0))))</x:f>
      </x:c>
      <x:c r="AA150" s="50" t="str">
        <x:f>IF(AND(COUNT(H150:J150)=3,I150&gt;=H150,J150&gt;=0),ROUND((I150-H150)*1440-J150,2),"")</x:f>
      </x:c>
      <x:c r="AB150" s="51" t="str">
        <x:f>IF(AND(ISNUMBER(P150),ISNUMBER(Z150),Z150&gt;0,P150&gt;=0,P150&lt;=Z150),P150/Z150,"")</x:f>
      </x:c>
      <x:c r="AC150" s="51" t="str">
        <x:f>IF(AND(ISNUMBER(Q150),ISNUMBER(Z150),Z150&gt;0,Q150&gt;=0,Q150&lt;=Z150),Q150/Z150,"")</x:f>
      </x:c>
      <x:c r="AD150" s="13" t="str">
        <x:f>IF(AE150&lt;&gt;"纳入","",IF(AND(O150="完成",AC150=1,R150=0,S150="通过",T150="通过",AA150&lt;=AH150),1,0))</x:f>
      </x:c>
      <x:c r="AE150" s="13" t="str">
        <x:f>IF(O150="","待运行",IF(O150="进行中","进行中",IF(NOT(OR(O150="完成",O150="超时",O150="工具故障",O150="主动终止")),"需核对终态",IF(OR('试点设置'!$C$15&lt;&gt;"齐备",INDEX('特性清单'!$P$7:$P$18,MATCH(C150,'特性清单'!$A$7:$A$18,0))&lt;&gt;"齐备",D150&gt;INDEX('特性清单'!$K$7:$K$18,MATCH(C150,'特性清单'!$A$7:$A$18,0))),"待补齐试验设置",IF(NOT(AND(F150&lt;&gt;"",COUNT(G150:N150)=8,COUNT(P150:R150)=3,S150&lt;&gt;"",T150&lt;&gt;"",V150&lt;&gt;"",X150&lt;&gt;"",Y150&lt;&gt;"",AI150&lt;&gt;"")),"待补齐记录",IF(NOT(AND(G150&gt;=1,G150&lt;=4,MOD(G150,1)=0,I150&gt;=H150,MIN(J150:N150)&gt;=0,MOD(M150,1)=0,MOD(N150,1)=0,AA150&gt;=0,K150&lt;=AA150,L150&lt;=K150,MIN(P150:R150)&gt;=0,MOD(P150,1)=0,MOD(Q150,1)=0,MOD(R150,1)=0,P150&lt;=Z150,Q150&lt;=Z150,OR(S150="通过",S150="失败",S150="未完成"),OR(T150="通过",T150="失败",T150="未完成"),OR(AI150="新手",AI150="偶尔使用",AI150="经常使用"),COUNTIFS($A$7:$A$150,A150)=1)),"需核对数值或ID",IF(OR(AND(O150&lt;&gt;"完成",W150=""),AND(J150&gt;0,W150=""),AND(V150&lt;&gt;"一致",W150="")),"待说明原因",IF(V150&lt;&gt;"一致","条件偏差","纳入"))))))))</x:f>
        <x:v>待运行</x:v>
      </x:c>
      <x:c r="AF150" s="13" t="n">
        <x:f>IF(AE150&lt;&gt;"纳入",0,INDEX('配对比较'!$J$7:$J$42,MATCH(B150,'配对比较'!$A$7:$A$42,0)))</x:f>
        <x:v>0</x:v>
      </x:c>
      <x:c r="AG150" s="13" t="n">
        <x:f>IF(AE150&lt;&gt;"纳入",0,INDEX('配对比较'!$L$7:$L$42,MATCH(B150,'配对比较'!$A$7:$A$42,0)))</x:f>
        <x:v>0</x:v>
      </x:c>
      <x:c r="AH150" s="13" t="str">
        <x:f>IF(INDEX('特性清单'!$B$7:$B$18,MATCH(C150,'特性清单'!$A$7:$A$18,0))="","",IF(INDEX('特性清单'!$J$7:$J$18,MATCH(C150,'特性清单'!$A$7:$A$18,0))="","",INDEX('特性清单'!$J$7:$J$18,MATCH(C150,'特性清单'!$A$7:$A$18,0))))</x:f>
      </x:c>
      <x:c r="AI150" s="11"/>
      <x:c r="AJ150" s="13" t="n">
        <x:f>IF(AND(ISNUMBER(U150),U150&gt;=0),1,0)</x:f>
        <x:v>0</x:v>
      </x:c>
      <x:c r="AK150" s="13" t="str">
        <x:f>IF(AE150&lt;&gt;"纳入","",IF(OR(O150="超时",AA150&gt;AH150),1,0))</x:f>
      </x:c>
    </x:row>
  </x:sheetData>
  <x:conditionalFormatting sqref="AE7:AE150">
    <x:cfRule type="expression" dxfId="2" priority="1">
      <x:formula>AND($O7&lt;&gt;"",$AE7&lt;&gt;"纳入",$AE7&lt;&gt;"进行中")</x:formula>
    </x:cfRule>
  </x:conditionalFormatting>
  <x:dataValidations count="9">
    <x:dataValidation type="whole" operator="between" sqref="G7:G150">
      <x:formula1>1</x:formula1>
      <x:formula2>4</x:formula2>
    </x:dataValidation>
    <x:dataValidation type="decimal" operator="between" sqref="J7:L150">
      <x:formula1>0</x:formula1>
      <x:formula2>100000</x:formula2>
    </x:dataValidation>
    <x:dataValidation type="whole" operator="between" sqref="M7:N150">
      <x:formula1>0</x:formula1>
      <x:formula2>10000</x:formula2>
    </x:dataValidation>
    <x:dataValidation type="whole" operator="between" sqref="P7:R150">
      <x:formula1>0</x:formula1>
      <x:formula2>10000</x:formula2>
    </x:dataValidation>
    <x:dataValidation type="decimal" operator="between" sqref="U7:U150">
      <x:formula1>0</x:formula1>
      <x:formula2>100000</x:formula2>
    </x:dataValidation>
    <x:dataValidation type="list" sqref="O7:O150">
      <x:formula1>"进行中,完成,超时,工具故障,主动终止"</x:formula1>
    </x:dataValidation>
    <x:dataValidation type="list" sqref="S7:T150">
      <x:formula1>"通过,失败,未完成"</x:formula1>
    </x:dataValidation>
    <x:dataValidation type="list" sqref="V7:V150">
      <x:formula1>"一致,有偏差"</x:formula1>
    </x:dataValidation>
    <x:dataValidation type="list" sqref="AI7:AI150">
      <x:formula1>"新手,偶尔使用,经常使用"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e7e0cdcccd4f3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4" ySplit="6" topLeftCell="E7" activePane="bottomRight" state="frozen"/>
    </x:sheetView>
  </x:sheetViews>
  <x:sheetFormatPr defaultRowHeight="15"/>
  <x:cols>
    <x:col min="1" max="1" width="19" hidden="0" customWidth="1"/>
    <x:col min="2" max="2" width="14" hidden="0" customWidth="1"/>
    <x:col min="3" max="3" width="12" hidden="0" customWidth="1"/>
    <x:col min="4" max="4" width="17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23" hidden="0" customWidth="1"/>
    <x:col min="16" max="16" width="58" hidden="0" customWidth="1"/>
    <x:col min="17" max="17" width="18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34" customHeight="1">
      <x:c r="A2" s="4" t="str">
        <x:v>能力评分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</x:row>
    <x:row r="3" ht="25" customHeight="1">
      <x:c r="A3" s="7" t="str">
        <x:v>按行为证据评 1–5 分。未观察到的维度留空；八维齐备才计总分，四工具齐备才进入体验对比。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46" customHeight="1">
      <x:c r="A6" s="22" t="str">
        <x:v>运行ID</x:v>
      </x:c>
      <x:c r="B6" s="23" t="str">
        <x:v>配对ID</x:v>
      </x:c>
      <x:c r="C6" s="23" t="str">
        <x:v>特性ID</x:v>
      </x:c>
      <x:c r="D6" s="23" t="str">
        <x:v>工具</x:v>
      </x:c>
      <x:c r="E6" s="23" t="str">
        <x:v>评分人</x:v>
      </x:c>
      <x:c r="F6" s="23" t="str">
        <x:v>需求理解</x:v>
      </x:c>
      <x:c r="G6" s="23" t="str">
        <x:v>仓库上下文</x:v>
      </x:c>
      <x:c r="H6" s="23" t="str">
        <x:v>方案与实现</x:v>
      </x:c>
      <x:c r="I6" s="23" t="str">
        <x:v>代码可维护性</x:v>
      </x:c>
      <x:c r="J6" s="23" t="str">
        <x:v>测试与修复</x:v>
      </x:c>
      <x:c r="K6" s="23" t="str">
        <x:v>自主执行</x:v>
      </x:c>
      <x:c r="L6" s="23" t="str">
        <x:v>交互可控性</x:v>
      </x:c>
      <x:c r="M6" s="23" t="str">
        <x:v>工程融入</x:v>
      </x:c>
      <x:c r="N6" s="23" t="str">
        <x:v>能力体验分 /100</x:v>
      </x:c>
      <x:c r="O6" s="23" t="str">
        <x:v>评分状态</x:v>
      </x:c>
      <x:c r="P6" s="23" t="str">
        <x:v>逐维评分理由 / 证据索引链接</x:v>
      </x:c>
      <x:c r="Q6" s="24" t="str">
        <x:v>评分配对 0/1</x:v>
      </x:c>
    </x:row>
    <x:row r="7" ht="25" customHeight="1">
      <x:c r="A7" s="13" t="str">
        <x:v>F01-R1-CC</x:v>
      </x:c>
      <x:c r="B7" s="13" t="str">
        <x:f>IF(COUNTIFS('运行记录'!$A$7:$A$150,A7)=1,INDEX('运行记录'!$B$7:$B$150,MATCH(A7,'运行记录'!$A$7:$A$150,0)),"")</x:f>
        <x:v>F01-R1</x:v>
      </x:c>
      <x:c r="C7" s="13" t="str">
        <x:f>IF(COUNTIFS('运行记录'!$A$7:$A$150,A7)=1,INDEX('运行记录'!$C$7:$C$150,MATCH(A7,'运行记录'!$A$7:$A$150,0)),"")</x:f>
        <x:v>F01</x:v>
      </x:c>
      <x:c r="D7" s="13" t="str">
        <x:f>IF(COUNTIFS('运行记录'!$A$7:$A$150,A7)=1,INDEX('运行记录'!$E$7:$E$150,MATCH(A7,'运行记录'!$A$7:$A$150,0)),"")</x:f>
        <x:v>Claude Code</x:v>
      </x:c>
      <x:c r="E7" s="9"/>
      <x:c r="F7" s="55"/>
      <x:c r="G7" s="55"/>
      <x:c r="H7" s="55"/>
      <x:c r="I7" s="55"/>
      <x:c r="J7" s="55"/>
      <x:c r="K7" s="55"/>
      <x:c r="L7" s="55"/>
      <x:c r="M7" s="55"/>
      <x:c r="N7" s="50" t="str">
        <x:f>IF(O7="可比较",SUMPRODUCT(F7:M7,'试点设置'!$B$29:$I$29)*20,"")</x:f>
      </x:c>
      <x:c r="O7" s="13" t="str">
        <x:f>IF(COUNTA(E7:M7)+COUNTA(P7)=0,"待评分",IF(OR(COUNTIFS($A$7:$A$150,A7)&lt;&gt;1,COUNTIFS('运行记录'!$A$7:$A$150,A7)&lt;&gt;1),"ID重复或无效",IF(INDEX('运行记录'!$AE$7:$AE$150,MATCH(A7,'运行记录'!$A$7:$A$150,0))&lt;&gt;"纳入","运行记录未纳入",IF(OR(E7="",P7="",COUNT(F7:M7)&lt;&gt;8),"待补齐评分或证据",IF(OR(MIN(F7:M7)&lt;1,MAX(F7:M7)&gt;5,MOD(F7,1)&lt;&gt;0,MOD(G7,1)&lt;&gt;0,MOD(H7,1)&lt;&gt;0,MOD(I7,1)&lt;&gt;0,MOD(J7,1)&lt;&gt;0,MOD(K7,1)&lt;&gt;0,MOD(L7,1)&lt;&gt;0,MOD(M7,1)&lt;&gt;0),"分数须为1至5整数",IF(ABS('试点设置'!$C$31-1)&gt;0.000001,"权重非100%","可比较"))))))</x:f>
        <x:v>待评分</x:v>
      </x:c>
      <x:c r="P7" s="9"/>
      <x:c r="Q7" s="13" t="n">
        <x:f>IF(O7&lt;&gt;"可比较",0,INDEX('配对比较'!$K$7:$K$42,MATCH(B7,'配对比较'!$A$7:$A$42,0)))</x:f>
        <x:v>0</x:v>
      </x:c>
    </x:row>
    <x:row r="8" ht="25" customHeight="1">
      <x:c r="A8" s="13" t="str">
        <x:v>F01-R1-CX</x:v>
      </x:c>
      <x:c r="B8" s="13" t="str">
        <x:f>IF(COUNTIFS('运行记录'!$A$7:$A$150,A8)=1,INDEX('运行记录'!$B$7:$B$150,MATCH(A8,'运行记录'!$A$7:$A$150,0)),"")</x:f>
        <x:v>F01-R1</x:v>
      </x:c>
      <x:c r="C8" s="13" t="str">
        <x:f>IF(COUNTIFS('运行记录'!$A$7:$A$150,A8)=1,INDEX('运行记录'!$C$7:$C$150,MATCH(A8,'运行记录'!$A$7:$A$150,0)),"")</x:f>
        <x:v>F01</x:v>
      </x:c>
      <x:c r="D8" s="13" t="str">
        <x:f>IF(COUNTIFS('运行记录'!$A$7:$A$150,A8)=1,INDEX('运行记录'!$E$7:$E$150,MATCH(A8,'运行记录'!$A$7:$A$150,0)),"")</x:f>
        <x:v>Codex</x:v>
      </x:c>
      <x:c r="E8" s="10"/>
      <x:c r="F8" s="56"/>
      <x:c r="G8" s="56"/>
      <x:c r="H8" s="56"/>
      <x:c r="I8" s="56"/>
      <x:c r="J8" s="56"/>
      <x:c r="K8" s="56"/>
      <x:c r="L8" s="56"/>
      <x:c r="M8" s="56"/>
      <x:c r="N8" s="50" t="str">
        <x:f>IF(O8="可比较",SUMPRODUCT(F8:M8,'试点设置'!$B$29:$I$29)*20,"")</x:f>
      </x:c>
      <x:c r="O8" s="13" t="str">
        <x:f>IF(COUNTA(E8:M8)+COUNTA(P8)=0,"待评分",IF(OR(COUNTIFS($A$7:$A$150,A8)&lt;&gt;1,COUNTIFS('运行记录'!$A$7:$A$150,A8)&lt;&gt;1),"ID重复或无效",IF(INDEX('运行记录'!$AE$7:$AE$150,MATCH(A8,'运行记录'!$A$7:$A$150,0))&lt;&gt;"纳入","运行记录未纳入",IF(OR(E8="",P8="",COUNT(F8:M8)&lt;&gt;8),"待补齐评分或证据",IF(OR(MIN(F8:M8)&lt;1,MAX(F8:M8)&gt;5,MOD(F8,1)&lt;&gt;0,MOD(G8,1)&lt;&gt;0,MOD(H8,1)&lt;&gt;0,MOD(I8,1)&lt;&gt;0,MOD(J8,1)&lt;&gt;0,MOD(K8,1)&lt;&gt;0,MOD(L8,1)&lt;&gt;0,MOD(M8,1)&lt;&gt;0),"分数须为1至5整数",IF(ABS('试点设置'!$C$31-1)&gt;0.000001,"权重非100%","可比较"))))))</x:f>
        <x:v>待评分</x:v>
      </x:c>
      <x:c r="P8" s="10"/>
      <x:c r="Q8" s="13" t="n">
        <x:f>IF(O8&lt;&gt;"可比较",0,INDEX('配对比较'!$K$7:$K$42,MATCH(B8,'配对比较'!$A$7:$A$42,0)))</x:f>
        <x:v>0</x:v>
      </x:c>
    </x:row>
    <x:row r="9" ht="25" customHeight="1">
      <x:c r="A9" s="13" t="str">
        <x:v>F01-R1-TR</x:v>
      </x:c>
      <x:c r="B9" s="13" t="str">
        <x:f>IF(COUNTIFS('运行记录'!$A$7:$A$150,A9)=1,INDEX('运行记录'!$B$7:$B$150,MATCH(A9,'运行记录'!$A$7:$A$150,0)),"")</x:f>
        <x:v>F01-R1</x:v>
      </x:c>
      <x:c r="C9" s="13" t="str">
        <x:f>IF(COUNTIFS('运行记录'!$A$7:$A$150,A9)=1,INDEX('运行记录'!$C$7:$C$150,MATCH(A9,'运行记录'!$A$7:$A$150,0)),"")</x:f>
        <x:v>F01</x:v>
      </x:c>
      <x:c r="D9" s="13" t="str">
        <x:f>IF(COUNTIFS('运行记录'!$A$7:$A$150,A9)=1,INDEX('运行记录'!$E$7:$E$150,MATCH(A9,'运行记录'!$A$7:$A$150,0)),"")</x:f>
        <x:v>Trae</x:v>
      </x:c>
      <x:c r="E9" s="10"/>
      <x:c r="F9" s="56"/>
      <x:c r="G9" s="56"/>
      <x:c r="H9" s="56"/>
      <x:c r="I9" s="56"/>
      <x:c r="J9" s="56"/>
      <x:c r="K9" s="56"/>
      <x:c r="L9" s="56"/>
      <x:c r="M9" s="56"/>
      <x:c r="N9" s="50" t="str">
        <x:f>IF(O9="可比较",SUMPRODUCT(F9:M9,'试点设置'!$B$29:$I$29)*20,"")</x:f>
      </x:c>
      <x:c r="O9" s="13" t="str">
        <x:f>IF(COUNTA(E9:M9)+COUNTA(P9)=0,"待评分",IF(OR(COUNTIFS($A$7:$A$150,A9)&lt;&gt;1,COUNTIFS('运行记录'!$A$7:$A$150,A9)&lt;&gt;1),"ID重复或无效",IF(INDEX('运行记录'!$AE$7:$AE$150,MATCH(A9,'运行记录'!$A$7:$A$150,0))&lt;&gt;"纳入","运行记录未纳入",IF(OR(E9="",P9="",COUNT(F9:M9)&lt;&gt;8),"待补齐评分或证据",IF(OR(MIN(F9:M9)&lt;1,MAX(F9:M9)&gt;5,MOD(F9,1)&lt;&gt;0,MOD(G9,1)&lt;&gt;0,MOD(H9,1)&lt;&gt;0,MOD(I9,1)&lt;&gt;0,MOD(J9,1)&lt;&gt;0,MOD(K9,1)&lt;&gt;0,MOD(L9,1)&lt;&gt;0,MOD(M9,1)&lt;&gt;0),"分数须为1至5整数",IF(ABS('试点设置'!$C$31-1)&gt;0.000001,"权重非100%","可比较"))))))</x:f>
        <x:v>待评分</x:v>
      </x:c>
      <x:c r="P9" s="10"/>
      <x:c r="Q9" s="13" t="n">
        <x:f>IF(O9&lt;&gt;"可比较",0,INDEX('配对比较'!$K$7:$K$42,MATCH(B9,'配对比较'!$A$7:$A$42,0)))</x:f>
        <x:v>0</x:v>
      </x:c>
    </x:row>
    <x:row r="10" ht="25" customHeight="1">
      <x:c r="A10" s="13" t="str">
        <x:v>F01-R1-CA</x:v>
      </x:c>
      <x:c r="B10" s="13" t="str">
        <x:f>IF(COUNTIFS('运行记录'!$A$7:$A$150,A10)=1,INDEX('运行记录'!$B$7:$B$150,MATCH(A10,'运行记录'!$A$7:$A$150,0)),"")</x:f>
        <x:v>F01-R1</x:v>
      </x:c>
      <x:c r="C10" s="13" t="str">
        <x:f>IF(COUNTIFS('运行记录'!$A$7:$A$150,A10)=1,INDEX('运行记录'!$C$7:$C$150,MATCH(A10,'运行记录'!$A$7:$A$150,0)),"")</x:f>
        <x:v>F01</x:v>
      </x:c>
      <x:c r="D10" s="13" t="str">
        <x:f>IF(COUNTIFS('运行记录'!$A$7:$A$150,A10)=1,INDEX('运行记录'!$E$7:$E$150,MATCH(A10,'运行记录'!$A$7:$A$150,0)),"")</x:f>
        <x:v>CodeArts</x:v>
      </x:c>
      <x:c r="E10" s="10"/>
      <x:c r="F10" s="56"/>
      <x:c r="G10" s="56"/>
      <x:c r="H10" s="56"/>
      <x:c r="I10" s="56"/>
      <x:c r="J10" s="56"/>
      <x:c r="K10" s="56"/>
      <x:c r="L10" s="56"/>
      <x:c r="M10" s="56"/>
      <x:c r="N10" s="50" t="str">
        <x:f>IF(O10="可比较",SUMPRODUCT(F10:M10,'试点设置'!$B$29:$I$29)*20,"")</x:f>
      </x:c>
      <x:c r="O10" s="13" t="str">
        <x:f>IF(COUNTA(E10:M10)+COUNTA(P10)=0,"待评分",IF(OR(COUNTIFS($A$7:$A$150,A10)&lt;&gt;1,COUNTIFS('运行记录'!$A$7:$A$150,A10)&lt;&gt;1),"ID重复或无效",IF(INDEX('运行记录'!$AE$7:$AE$150,MATCH(A10,'运行记录'!$A$7:$A$150,0))&lt;&gt;"纳入","运行记录未纳入",IF(OR(E10="",P10="",COUNT(F10:M10)&lt;&gt;8),"待补齐评分或证据",IF(OR(MIN(F10:M10)&lt;1,MAX(F10:M10)&gt;5,MOD(F10,1)&lt;&gt;0,MOD(G10,1)&lt;&gt;0,MOD(H10,1)&lt;&gt;0,MOD(I10,1)&lt;&gt;0,MOD(J10,1)&lt;&gt;0,MOD(K10,1)&lt;&gt;0,MOD(L10,1)&lt;&gt;0,MOD(M10,1)&lt;&gt;0),"分数须为1至5整数",IF(ABS('试点设置'!$C$31-1)&gt;0.000001,"权重非100%","可比较"))))))</x:f>
        <x:v>待评分</x:v>
      </x:c>
      <x:c r="P10" s="10"/>
      <x:c r="Q10" s="13" t="n">
        <x:f>IF(O10&lt;&gt;"可比较",0,INDEX('配对比较'!$K$7:$K$42,MATCH(B10,'配对比较'!$A$7:$A$42,0)))</x:f>
        <x:v>0</x:v>
      </x:c>
    </x:row>
    <x:row r="11" ht="25" customHeight="1">
      <x:c r="A11" s="13" t="str">
        <x:v>F01-R2-CC</x:v>
      </x:c>
      <x:c r="B11" s="13" t="str">
        <x:f>IF(COUNTIFS('运行记录'!$A$7:$A$150,A11)=1,INDEX('运行记录'!$B$7:$B$150,MATCH(A11,'运行记录'!$A$7:$A$150,0)),"")</x:f>
        <x:v>F01-R2</x:v>
      </x:c>
      <x:c r="C11" s="13" t="str">
        <x:f>IF(COUNTIFS('运行记录'!$A$7:$A$150,A11)=1,INDEX('运行记录'!$C$7:$C$150,MATCH(A11,'运行记录'!$A$7:$A$150,0)),"")</x:f>
        <x:v>F01</x:v>
      </x:c>
      <x:c r="D11" s="13" t="str">
        <x:f>IF(COUNTIFS('运行记录'!$A$7:$A$150,A11)=1,INDEX('运行记录'!$E$7:$E$150,MATCH(A11,'运行记录'!$A$7:$A$150,0)),"")</x:f>
        <x:v>Claude Code</x:v>
      </x:c>
      <x:c r="E11" s="10"/>
      <x:c r="F11" s="56"/>
      <x:c r="G11" s="56"/>
      <x:c r="H11" s="56"/>
      <x:c r="I11" s="56"/>
      <x:c r="J11" s="56"/>
      <x:c r="K11" s="56"/>
      <x:c r="L11" s="56"/>
      <x:c r="M11" s="56"/>
      <x:c r="N11" s="50" t="str">
        <x:f>IF(O11="可比较",SUMPRODUCT(F11:M11,'试点设置'!$B$29:$I$29)*20,"")</x:f>
      </x:c>
      <x:c r="O11" s="13" t="str">
        <x:f>IF(COUNTA(E11:M11)+COUNTA(P11)=0,"待评分",IF(OR(COUNTIFS($A$7:$A$150,A11)&lt;&gt;1,COUNTIFS('运行记录'!$A$7:$A$150,A11)&lt;&gt;1),"ID重复或无效",IF(INDEX('运行记录'!$AE$7:$AE$150,MATCH(A11,'运行记录'!$A$7:$A$150,0))&lt;&gt;"纳入","运行记录未纳入",IF(OR(E11="",P11="",COUNT(F11:M11)&lt;&gt;8),"待补齐评分或证据",IF(OR(MIN(F11:M11)&lt;1,MAX(F11:M11)&gt;5,MOD(F11,1)&lt;&gt;0,MOD(G11,1)&lt;&gt;0,MOD(H11,1)&lt;&gt;0,MOD(I11,1)&lt;&gt;0,MOD(J11,1)&lt;&gt;0,MOD(K11,1)&lt;&gt;0,MOD(L11,1)&lt;&gt;0,MOD(M11,1)&lt;&gt;0),"分数须为1至5整数",IF(ABS('试点设置'!$C$31-1)&gt;0.000001,"权重非100%","可比较"))))))</x:f>
        <x:v>待评分</x:v>
      </x:c>
      <x:c r="P11" s="10"/>
      <x:c r="Q11" s="13" t="n">
        <x:f>IF(O11&lt;&gt;"可比较",0,INDEX('配对比较'!$K$7:$K$42,MATCH(B11,'配对比较'!$A$7:$A$42,0)))</x:f>
        <x:v>0</x:v>
      </x:c>
    </x:row>
    <x:row r="12" ht="25" customHeight="1">
      <x:c r="A12" s="13" t="str">
        <x:v>F01-R2-CX</x:v>
      </x:c>
      <x:c r="B12" s="13" t="str">
        <x:f>IF(COUNTIFS('运行记录'!$A$7:$A$150,A12)=1,INDEX('运行记录'!$B$7:$B$150,MATCH(A12,'运行记录'!$A$7:$A$150,0)),"")</x:f>
        <x:v>F01-R2</x:v>
      </x:c>
      <x:c r="C12" s="13" t="str">
        <x:f>IF(COUNTIFS('运行记录'!$A$7:$A$150,A12)=1,INDEX('运行记录'!$C$7:$C$150,MATCH(A12,'运行记录'!$A$7:$A$150,0)),"")</x:f>
        <x:v>F01</x:v>
      </x:c>
      <x:c r="D12" s="13" t="str">
        <x:f>IF(COUNTIFS('运行记录'!$A$7:$A$150,A12)=1,INDEX('运行记录'!$E$7:$E$150,MATCH(A12,'运行记录'!$A$7:$A$150,0)),"")</x:f>
        <x:v>Codex</x:v>
      </x:c>
      <x:c r="E12" s="10"/>
      <x:c r="F12" s="56"/>
      <x:c r="G12" s="56"/>
      <x:c r="H12" s="56"/>
      <x:c r="I12" s="56"/>
      <x:c r="J12" s="56"/>
      <x:c r="K12" s="56"/>
      <x:c r="L12" s="56"/>
      <x:c r="M12" s="56"/>
      <x:c r="N12" s="50" t="str">
        <x:f>IF(O12="可比较",SUMPRODUCT(F12:M12,'试点设置'!$B$29:$I$29)*20,"")</x:f>
      </x:c>
      <x:c r="O12" s="13" t="str">
        <x:f>IF(COUNTA(E12:M12)+COUNTA(P12)=0,"待评分",IF(OR(COUNTIFS($A$7:$A$150,A12)&lt;&gt;1,COUNTIFS('运行记录'!$A$7:$A$150,A12)&lt;&gt;1),"ID重复或无效",IF(INDEX('运行记录'!$AE$7:$AE$150,MATCH(A12,'运行记录'!$A$7:$A$150,0))&lt;&gt;"纳入","运行记录未纳入",IF(OR(E12="",P12="",COUNT(F12:M12)&lt;&gt;8),"待补齐评分或证据",IF(OR(MIN(F12:M12)&lt;1,MAX(F12:M12)&gt;5,MOD(F12,1)&lt;&gt;0,MOD(G12,1)&lt;&gt;0,MOD(H12,1)&lt;&gt;0,MOD(I12,1)&lt;&gt;0,MOD(J12,1)&lt;&gt;0,MOD(K12,1)&lt;&gt;0,MOD(L12,1)&lt;&gt;0,MOD(M12,1)&lt;&gt;0),"分数须为1至5整数",IF(ABS('试点设置'!$C$31-1)&gt;0.000001,"权重非100%","可比较"))))))</x:f>
        <x:v>待评分</x:v>
      </x:c>
      <x:c r="P12" s="10"/>
      <x:c r="Q12" s="13" t="n">
        <x:f>IF(O12&lt;&gt;"可比较",0,INDEX('配对比较'!$K$7:$K$42,MATCH(B12,'配对比较'!$A$7:$A$42,0)))</x:f>
        <x:v>0</x:v>
      </x:c>
    </x:row>
    <x:row r="13" ht="25" customHeight="1">
      <x:c r="A13" s="13" t="str">
        <x:v>F01-R2-TR</x:v>
      </x:c>
      <x:c r="B13" s="13" t="str">
        <x:f>IF(COUNTIFS('运行记录'!$A$7:$A$150,A13)=1,INDEX('运行记录'!$B$7:$B$150,MATCH(A13,'运行记录'!$A$7:$A$150,0)),"")</x:f>
        <x:v>F01-R2</x:v>
      </x:c>
      <x:c r="C13" s="13" t="str">
        <x:f>IF(COUNTIFS('运行记录'!$A$7:$A$150,A13)=1,INDEX('运行记录'!$C$7:$C$150,MATCH(A13,'运行记录'!$A$7:$A$150,0)),"")</x:f>
        <x:v>F01</x:v>
      </x:c>
      <x:c r="D13" s="13" t="str">
        <x:f>IF(COUNTIFS('运行记录'!$A$7:$A$150,A13)=1,INDEX('运行记录'!$E$7:$E$150,MATCH(A13,'运行记录'!$A$7:$A$150,0)),"")</x:f>
        <x:v>Trae</x:v>
      </x:c>
      <x:c r="E13" s="10"/>
      <x:c r="F13" s="56"/>
      <x:c r="G13" s="56"/>
      <x:c r="H13" s="56"/>
      <x:c r="I13" s="56"/>
      <x:c r="J13" s="56"/>
      <x:c r="K13" s="56"/>
      <x:c r="L13" s="56"/>
      <x:c r="M13" s="56"/>
      <x:c r="N13" s="50" t="str">
        <x:f>IF(O13="可比较",SUMPRODUCT(F13:M13,'试点设置'!$B$29:$I$29)*20,"")</x:f>
      </x:c>
      <x:c r="O13" s="13" t="str">
        <x:f>IF(COUNTA(E13:M13)+COUNTA(P13)=0,"待评分",IF(OR(COUNTIFS($A$7:$A$150,A13)&lt;&gt;1,COUNTIFS('运行记录'!$A$7:$A$150,A13)&lt;&gt;1),"ID重复或无效",IF(INDEX('运行记录'!$AE$7:$AE$150,MATCH(A13,'运行记录'!$A$7:$A$150,0))&lt;&gt;"纳入","运行记录未纳入",IF(OR(E13="",P13="",COUNT(F13:M13)&lt;&gt;8),"待补齐评分或证据",IF(OR(MIN(F13:M13)&lt;1,MAX(F13:M13)&gt;5,MOD(F13,1)&lt;&gt;0,MOD(G13,1)&lt;&gt;0,MOD(H13,1)&lt;&gt;0,MOD(I13,1)&lt;&gt;0,MOD(J13,1)&lt;&gt;0,MOD(K13,1)&lt;&gt;0,MOD(L13,1)&lt;&gt;0,MOD(M13,1)&lt;&gt;0),"分数须为1至5整数",IF(ABS('试点设置'!$C$31-1)&gt;0.000001,"权重非100%","可比较"))))))</x:f>
        <x:v>待评分</x:v>
      </x:c>
      <x:c r="P13" s="10"/>
      <x:c r="Q13" s="13" t="n">
        <x:f>IF(O13&lt;&gt;"可比较",0,INDEX('配对比较'!$K$7:$K$42,MATCH(B13,'配对比较'!$A$7:$A$42,0)))</x:f>
        <x:v>0</x:v>
      </x:c>
    </x:row>
    <x:row r="14" ht="25" customHeight="1">
      <x:c r="A14" s="13" t="str">
        <x:v>F01-R2-CA</x:v>
      </x:c>
      <x:c r="B14" s="13" t="str">
        <x:f>IF(COUNTIFS('运行记录'!$A$7:$A$150,A14)=1,INDEX('运行记录'!$B$7:$B$150,MATCH(A14,'运行记录'!$A$7:$A$150,0)),"")</x:f>
        <x:v>F01-R2</x:v>
      </x:c>
      <x:c r="C14" s="13" t="str">
        <x:f>IF(COUNTIFS('运行记录'!$A$7:$A$150,A14)=1,INDEX('运行记录'!$C$7:$C$150,MATCH(A14,'运行记录'!$A$7:$A$150,0)),"")</x:f>
        <x:v>F01</x:v>
      </x:c>
      <x:c r="D14" s="13" t="str">
        <x:f>IF(COUNTIFS('运行记录'!$A$7:$A$150,A14)=1,INDEX('运行记录'!$E$7:$E$150,MATCH(A14,'运行记录'!$A$7:$A$150,0)),"")</x:f>
        <x:v>CodeArts</x:v>
      </x:c>
      <x:c r="E14" s="10"/>
      <x:c r="F14" s="56"/>
      <x:c r="G14" s="56"/>
      <x:c r="H14" s="56"/>
      <x:c r="I14" s="56"/>
      <x:c r="J14" s="56"/>
      <x:c r="K14" s="56"/>
      <x:c r="L14" s="56"/>
      <x:c r="M14" s="56"/>
      <x:c r="N14" s="50" t="str">
        <x:f>IF(O14="可比较",SUMPRODUCT(F14:M14,'试点设置'!$B$29:$I$29)*20,"")</x:f>
      </x:c>
      <x:c r="O14" s="13" t="str">
        <x:f>IF(COUNTA(E14:M14)+COUNTA(P14)=0,"待评分",IF(OR(COUNTIFS($A$7:$A$150,A14)&lt;&gt;1,COUNTIFS('运行记录'!$A$7:$A$150,A14)&lt;&gt;1),"ID重复或无效",IF(INDEX('运行记录'!$AE$7:$AE$150,MATCH(A14,'运行记录'!$A$7:$A$150,0))&lt;&gt;"纳入","运行记录未纳入",IF(OR(E14="",P14="",COUNT(F14:M14)&lt;&gt;8),"待补齐评分或证据",IF(OR(MIN(F14:M14)&lt;1,MAX(F14:M14)&gt;5,MOD(F14,1)&lt;&gt;0,MOD(G14,1)&lt;&gt;0,MOD(H14,1)&lt;&gt;0,MOD(I14,1)&lt;&gt;0,MOD(J14,1)&lt;&gt;0,MOD(K14,1)&lt;&gt;0,MOD(L14,1)&lt;&gt;0,MOD(M14,1)&lt;&gt;0),"分数须为1至5整数",IF(ABS('试点设置'!$C$31-1)&gt;0.000001,"权重非100%","可比较"))))))</x:f>
        <x:v>待评分</x:v>
      </x:c>
      <x:c r="P14" s="10"/>
      <x:c r="Q14" s="13" t="n">
        <x:f>IF(O14&lt;&gt;"可比较",0,INDEX('配对比较'!$K$7:$K$42,MATCH(B14,'配对比较'!$A$7:$A$42,0)))</x:f>
        <x:v>0</x:v>
      </x:c>
    </x:row>
    <x:row r="15" ht="25" customHeight="1">
      <x:c r="A15" s="13" t="str">
        <x:v>F01-R3-CC</x:v>
      </x:c>
      <x:c r="B15" s="13" t="str">
        <x:f>IF(COUNTIFS('运行记录'!$A$7:$A$150,A15)=1,INDEX('运行记录'!$B$7:$B$150,MATCH(A15,'运行记录'!$A$7:$A$150,0)),"")</x:f>
        <x:v>F01-R3</x:v>
      </x:c>
      <x:c r="C15" s="13" t="str">
        <x:f>IF(COUNTIFS('运行记录'!$A$7:$A$150,A15)=1,INDEX('运行记录'!$C$7:$C$150,MATCH(A15,'运行记录'!$A$7:$A$150,0)),"")</x:f>
        <x:v>F01</x:v>
      </x:c>
      <x:c r="D15" s="13" t="str">
        <x:f>IF(COUNTIFS('运行记录'!$A$7:$A$150,A15)=1,INDEX('运行记录'!$E$7:$E$150,MATCH(A15,'运行记录'!$A$7:$A$150,0)),"")</x:f>
        <x:v>Claude Code</x:v>
      </x:c>
      <x:c r="E15" s="10"/>
      <x:c r="F15" s="56"/>
      <x:c r="G15" s="56"/>
      <x:c r="H15" s="56"/>
      <x:c r="I15" s="56"/>
      <x:c r="J15" s="56"/>
      <x:c r="K15" s="56"/>
      <x:c r="L15" s="56"/>
      <x:c r="M15" s="56"/>
      <x:c r="N15" s="50" t="str">
        <x:f>IF(O15="可比较",SUMPRODUCT(F15:M15,'试点设置'!$B$29:$I$29)*20,"")</x:f>
      </x:c>
      <x:c r="O15" s="13" t="str">
        <x:f>IF(COUNTA(E15:M15)+COUNTA(P15)=0,"待评分",IF(OR(COUNTIFS($A$7:$A$150,A15)&lt;&gt;1,COUNTIFS('运行记录'!$A$7:$A$150,A15)&lt;&gt;1),"ID重复或无效",IF(INDEX('运行记录'!$AE$7:$AE$150,MATCH(A15,'运行记录'!$A$7:$A$150,0))&lt;&gt;"纳入","运行记录未纳入",IF(OR(E15="",P15="",COUNT(F15:M15)&lt;&gt;8),"待补齐评分或证据",IF(OR(MIN(F15:M15)&lt;1,MAX(F15:M15)&gt;5,MOD(F15,1)&lt;&gt;0,MOD(G15,1)&lt;&gt;0,MOD(H15,1)&lt;&gt;0,MOD(I15,1)&lt;&gt;0,MOD(J15,1)&lt;&gt;0,MOD(K15,1)&lt;&gt;0,MOD(L15,1)&lt;&gt;0,MOD(M15,1)&lt;&gt;0),"分数须为1至5整数",IF(ABS('试点设置'!$C$31-1)&gt;0.000001,"权重非100%","可比较"))))))</x:f>
        <x:v>待评分</x:v>
      </x:c>
      <x:c r="P15" s="10"/>
      <x:c r="Q15" s="13" t="n">
        <x:f>IF(O15&lt;&gt;"可比较",0,INDEX('配对比较'!$K$7:$K$42,MATCH(B15,'配对比较'!$A$7:$A$42,0)))</x:f>
        <x:v>0</x:v>
      </x:c>
    </x:row>
    <x:row r="16" ht="25" customHeight="1">
      <x:c r="A16" s="13" t="str">
        <x:v>F01-R3-CX</x:v>
      </x:c>
      <x:c r="B16" s="13" t="str">
        <x:f>IF(COUNTIFS('运行记录'!$A$7:$A$150,A16)=1,INDEX('运行记录'!$B$7:$B$150,MATCH(A16,'运行记录'!$A$7:$A$150,0)),"")</x:f>
        <x:v>F01-R3</x:v>
      </x:c>
      <x:c r="C16" s="13" t="str">
        <x:f>IF(COUNTIFS('运行记录'!$A$7:$A$150,A16)=1,INDEX('运行记录'!$C$7:$C$150,MATCH(A16,'运行记录'!$A$7:$A$150,0)),"")</x:f>
        <x:v>F01</x:v>
      </x:c>
      <x:c r="D16" s="13" t="str">
        <x:f>IF(COUNTIFS('运行记录'!$A$7:$A$150,A16)=1,INDEX('运行记录'!$E$7:$E$150,MATCH(A16,'运行记录'!$A$7:$A$150,0)),"")</x:f>
        <x:v>Codex</x:v>
      </x:c>
      <x:c r="E16" s="10"/>
      <x:c r="F16" s="56"/>
      <x:c r="G16" s="56"/>
      <x:c r="H16" s="56"/>
      <x:c r="I16" s="56"/>
      <x:c r="J16" s="56"/>
      <x:c r="K16" s="56"/>
      <x:c r="L16" s="56"/>
      <x:c r="M16" s="56"/>
      <x:c r="N16" s="50" t="str">
        <x:f>IF(O16="可比较",SUMPRODUCT(F16:M16,'试点设置'!$B$29:$I$29)*20,"")</x:f>
      </x:c>
      <x:c r="O16" s="13" t="str">
        <x:f>IF(COUNTA(E16:M16)+COUNTA(P16)=0,"待评分",IF(OR(COUNTIFS($A$7:$A$150,A16)&lt;&gt;1,COUNTIFS('运行记录'!$A$7:$A$150,A16)&lt;&gt;1),"ID重复或无效",IF(INDEX('运行记录'!$AE$7:$AE$150,MATCH(A16,'运行记录'!$A$7:$A$150,0))&lt;&gt;"纳入","运行记录未纳入",IF(OR(E16="",P16="",COUNT(F16:M16)&lt;&gt;8),"待补齐评分或证据",IF(OR(MIN(F16:M16)&lt;1,MAX(F16:M16)&gt;5,MOD(F16,1)&lt;&gt;0,MOD(G16,1)&lt;&gt;0,MOD(H16,1)&lt;&gt;0,MOD(I16,1)&lt;&gt;0,MOD(J16,1)&lt;&gt;0,MOD(K16,1)&lt;&gt;0,MOD(L16,1)&lt;&gt;0,MOD(M16,1)&lt;&gt;0),"分数须为1至5整数",IF(ABS('试点设置'!$C$31-1)&gt;0.000001,"权重非100%","可比较"))))))</x:f>
        <x:v>待评分</x:v>
      </x:c>
      <x:c r="P16" s="10"/>
      <x:c r="Q16" s="13" t="n">
        <x:f>IF(O16&lt;&gt;"可比较",0,INDEX('配对比较'!$K$7:$K$42,MATCH(B16,'配对比较'!$A$7:$A$42,0)))</x:f>
        <x:v>0</x:v>
      </x:c>
    </x:row>
    <x:row r="17" ht="25" customHeight="1">
      <x:c r="A17" s="13" t="str">
        <x:v>F01-R3-TR</x:v>
      </x:c>
      <x:c r="B17" s="13" t="str">
        <x:f>IF(COUNTIFS('运行记录'!$A$7:$A$150,A17)=1,INDEX('运行记录'!$B$7:$B$150,MATCH(A17,'运行记录'!$A$7:$A$150,0)),"")</x:f>
        <x:v>F01-R3</x:v>
      </x:c>
      <x:c r="C17" s="13" t="str">
        <x:f>IF(COUNTIFS('运行记录'!$A$7:$A$150,A17)=1,INDEX('运行记录'!$C$7:$C$150,MATCH(A17,'运行记录'!$A$7:$A$150,0)),"")</x:f>
        <x:v>F01</x:v>
      </x:c>
      <x:c r="D17" s="13" t="str">
        <x:f>IF(COUNTIFS('运行记录'!$A$7:$A$150,A17)=1,INDEX('运行记录'!$E$7:$E$150,MATCH(A17,'运行记录'!$A$7:$A$150,0)),"")</x:f>
        <x:v>Trae</x:v>
      </x:c>
      <x:c r="E17" s="10"/>
      <x:c r="F17" s="56"/>
      <x:c r="G17" s="56"/>
      <x:c r="H17" s="56"/>
      <x:c r="I17" s="56"/>
      <x:c r="J17" s="56"/>
      <x:c r="K17" s="56"/>
      <x:c r="L17" s="56"/>
      <x:c r="M17" s="56"/>
      <x:c r="N17" s="50" t="str">
        <x:f>IF(O17="可比较",SUMPRODUCT(F17:M17,'试点设置'!$B$29:$I$29)*20,"")</x:f>
      </x:c>
      <x:c r="O17" s="13" t="str">
        <x:f>IF(COUNTA(E17:M17)+COUNTA(P17)=0,"待评分",IF(OR(COUNTIFS($A$7:$A$150,A17)&lt;&gt;1,COUNTIFS('运行记录'!$A$7:$A$150,A17)&lt;&gt;1),"ID重复或无效",IF(INDEX('运行记录'!$AE$7:$AE$150,MATCH(A17,'运行记录'!$A$7:$A$150,0))&lt;&gt;"纳入","运行记录未纳入",IF(OR(E17="",P17="",COUNT(F17:M17)&lt;&gt;8),"待补齐评分或证据",IF(OR(MIN(F17:M17)&lt;1,MAX(F17:M17)&gt;5,MOD(F17,1)&lt;&gt;0,MOD(G17,1)&lt;&gt;0,MOD(H17,1)&lt;&gt;0,MOD(I17,1)&lt;&gt;0,MOD(J17,1)&lt;&gt;0,MOD(K17,1)&lt;&gt;0,MOD(L17,1)&lt;&gt;0,MOD(M17,1)&lt;&gt;0),"分数须为1至5整数",IF(ABS('试点设置'!$C$31-1)&gt;0.000001,"权重非100%","可比较"))))))</x:f>
        <x:v>待评分</x:v>
      </x:c>
      <x:c r="P17" s="10"/>
      <x:c r="Q17" s="13" t="n">
        <x:f>IF(O17&lt;&gt;"可比较",0,INDEX('配对比较'!$K$7:$K$42,MATCH(B17,'配对比较'!$A$7:$A$42,0)))</x:f>
        <x:v>0</x:v>
      </x:c>
    </x:row>
    <x:row r="18" ht="25" customHeight="1">
      <x:c r="A18" s="13" t="str">
        <x:v>F01-R3-CA</x:v>
      </x:c>
      <x:c r="B18" s="13" t="str">
        <x:f>IF(COUNTIFS('运行记录'!$A$7:$A$150,A18)=1,INDEX('运行记录'!$B$7:$B$150,MATCH(A18,'运行记录'!$A$7:$A$150,0)),"")</x:f>
        <x:v>F01-R3</x:v>
      </x:c>
      <x:c r="C18" s="13" t="str">
        <x:f>IF(COUNTIFS('运行记录'!$A$7:$A$150,A18)=1,INDEX('运行记录'!$C$7:$C$150,MATCH(A18,'运行记录'!$A$7:$A$150,0)),"")</x:f>
        <x:v>F01</x:v>
      </x:c>
      <x:c r="D18" s="13" t="str">
        <x:f>IF(COUNTIFS('运行记录'!$A$7:$A$150,A18)=1,INDEX('运行记录'!$E$7:$E$150,MATCH(A18,'运行记录'!$A$7:$A$150,0)),"")</x:f>
        <x:v>CodeArts</x:v>
      </x:c>
      <x:c r="E18" s="10"/>
      <x:c r="F18" s="56"/>
      <x:c r="G18" s="56"/>
      <x:c r="H18" s="56"/>
      <x:c r="I18" s="56"/>
      <x:c r="J18" s="56"/>
      <x:c r="K18" s="56"/>
      <x:c r="L18" s="56"/>
      <x:c r="M18" s="56"/>
      <x:c r="N18" s="50" t="str">
        <x:f>IF(O18="可比较",SUMPRODUCT(F18:M18,'试点设置'!$B$29:$I$29)*20,"")</x:f>
      </x:c>
      <x:c r="O18" s="13" t="str">
        <x:f>IF(COUNTA(E18:M18)+COUNTA(P18)=0,"待评分",IF(OR(COUNTIFS($A$7:$A$150,A18)&lt;&gt;1,COUNTIFS('运行记录'!$A$7:$A$150,A18)&lt;&gt;1),"ID重复或无效",IF(INDEX('运行记录'!$AE$7:$AE$150,MATCH(A18,'运行记录'!$A$7:$A$150,0))&lt;&gt;"纳入","运行记录未纳入",IF(OR(E18="",P18="",COUNT(F18:M18)&lt;&gt;8),"待补齐评分或证据",IF(OR(MIN(F18:M18)&lt;1,MAX(F18:M18)&gt;5,MOD(F18,1)&lt;&gt;0,MOD(G18,1)&lt;&gt;0,MOD(H18,1)&lt;&gt;0,MOD(I18,1)&lt;&gt;0,MOD(J18,1)&lt;&gt;0,MOD(K18,1)&lt;&gt;0,MOD(L18,1)&lt;&gt;0,MOD(M18,1)&lt;&gt;0),"分数须为1至5整数",IF(ABS('试点设置'!$C$31-1)&gt;0.000001,"权重非100%","可比较"))))))</x:f>
        <x:v>待评分</x:v>
      </x:c>
      <x:c r="P18" s="10"/>
      <x:c r="Q18" s="13" t="n">
        <x:f>IF(O18&lt;&gt;"可比较",0,INDEX('配对比较'!$K$7:$K$42,MATCH(B18,'配对比较'!$A$7:$A$42,0)))</x:f>
        <x:v>0</x:v>
      </x:c>
    </x:row>
    <x:row r="19" ht="25" customHeight="1">
      <x:c r="A19" s="13" t="str">
        <x:v>F02-R1-CC</x:v>
      </x:c>
      <x:c r="B19" s="13" t="str">
        <x:f>IF(COUNTIFS('运行记录'!$A$7:$A$150,A19)=1,INDEX('运行记录'!$B$7:$B$150,MATCH(A19,'运行记录'!$A$7:$A$150,0)),"")</x:f>
        <x:v>F02-R1</x:v>
      </x:c>
      <x:c r="C19" s="13" t="str">
        <x:f>IF(COUNTIFS('运行记录'!$A$7:$A$150,A19)=1,INDEX('运行记录'!$C$7:$C$150,MATCH(A19,'运行记录'!$A$7:$A$150,0)),"")</x:f>
        <x:v>F02</x:v>
      </x:c>
      <x:c r="D19" s="13" t="str">
        <x:f>IF(COUNTIFS('运行记录'!$A$7:$A$150,A19)=1,INDEX('运行记录'!$E$7:$E$150,MATCH(A19,'运行记录'!$A$7:$A$150,0)),"")</x:f>
        <x:v>Claude Code</x:v>
      </x:c>
      <x:c r="E19" s="10"/>
      <x:c r="F19" s="56"/>
      <x:c r="G19" s="56"/>
      <x:c r="H19" s="56"/>
      <x:c r="I19" s="56"/>
      <x:c r="J19" s="56"/>
      <x:c r="K19" s="56"/>
      <x:c r="L19" s="56"/>
      <x:c r="M19" s="56"/>
      <x:c r="N19" s="50" t="str">
        <x:f>IF(O19="可比较",SUMPRODUCT(F19:M19,'试点设置'!$B$29:$I$29)*20,"")</x:f>
      </x:c>
      <x:c r="O19" s="13" t="str">
        <x:f>IF(COUNTA(E19:M19)+COUNTA(P19)=0,"待评分",IF(OR(COUNTIFS($A$7:$A$150,A19)&lt;&gt;1,COUNTIFS('运行记录'!$A$7:$A$150,A19)&lt;&gt;1),"ID重复或无效",IF(INDEX('运行记录'!$AE$7:$AE$150,MATCH(A19,'运行记录'!$A$7:$A$150,0))&lt;&gt;"纳入","运行记录未纳入",IF(OR(E19="",P19="",COUNT(F19:M19)&lt;&gt;8),"待补齐评分或证据",IF(OR(MIN(F19:M19)&lt;1,MAX(F19:M19)&gt;5,MOD(F19,1)&lt;&gt;0,MOD(G19,1)&lt;&gt;0,MOD(H19,1)&lt;&gt;0,MOD(I19,1)&lt;&gt;0,MOD(J19,1)&lt;&gt;0,MOD(K19,1)&lt;&gt;0,MOD(L19,1)&lt;&gt;0,MOD(M19,1)&lt;&gt;0),"分数须为1至5整数",IF(ABS('试点设置'!$C$31-1)&gt;0.000001,"权重非100%","可比较"))))))</x:f>
        <x:v>待评分</x:v>
      </x:c>
      <x:c r="P19" s="10"/>
      <x:c r="Q19" s="13" t="n">
        <x:f>IF(O19&lt;&gt;"可比较",0,INDEX('配对比较'!$K$7:$K$42,MATCH(B19,'配对比较'!$A$7:$A$42,0)))</x:f>
        <x:v>0</x:v>
      </x:c>
    </x:row>
    <x:row r="20" ht="25" customHeight="1">
      <x:c r="A20" s="13" t="str">
        <x:v>F02-R1-CX</x:v>
      </x:c>
      <x:c r="B20" s="13" t="str">
        <x:f>IF(COUNTIFS('运行记录'!$A$7:$A$150,A20)=1,INDEX('运行记录'!$B$7:$B$150,MATCH(A20,'运行记录'!$A$7:$A$150,0)),"")</x:f>
        <x:v>F02-R1</x:v>
      </x:c>
      <x:c r="C20" s="13" t="str">
        <x:f>IF(COUNTIFS('运行记录'!$A$7:$A$150,A20)=1,INDEX('运行记录'!$C$7:$C$150,MATCH(A20,'运行记录'!$A$7:$A$150,0)),"")</x:f>
        <x:v>F02</x:v>
      </x:c>
      <x:c r="D20" s="13" t="str">
        <x:f>IF(COUNTIFS('运行记录'!$A$7:$A$150,A20)=1,INDEX('运行记录'!$E$7:$E$150,MATCH(A20,'运行记录'!$A$7:$A$150,0)),"")</x:f>
        <x:v>Codex</x:v>
      </x:c>
      <x:c r="E20" s="10"/>
      <x:c r="F20" s="56"/>
      <x:c r="G20" s="56"/>
      <x:c r="H20" s="56"/>
      <x:c r="I20" s="56"/>
      <x:c r="J20" s="56"/>
      <x:c r="K20" s="56"/>
      <x:c r="L20" s="56"/>
      <x:c r="M20" s="56"/>
      <x:c r="N20" s="50" t="str">
        <x:f>IF(O20="可比较",SUMPRODUCT(F20:M20,'试点设置'!$B$29:$I$29)*20,"")</x:f>
      </x:c>
      <x:c r="O20" s="13" t="str">
        <x:f>IF(COUNTA(E20:M20)+COUNTA(P20)=0,"待评分",IF(OR(COUNTIFS($A$7:$A$150,A20)&lt;&gt;1,COUNTIFS('运行记录'!$A$7:$A$150,A20)&lt;&gt;1),"ID重复或无效",IF(INDEX('运行记录'!$AE$7:$AE$150,MATCH(A20,'运行记录'!$A$7:$A$150,0))&lt;&gt;"纳入","运行记录未纳入",IF(OR(E20="",P20="",COUNT(F20:M20)&lt;&gt;8),"待补齐评分或证据",IF(OR(MIN(F20:M20)&lt;1,MAX(F20:M20)&gt;5,MOD(F20,1)&lt;&gt;0,MOD(G20,1)&lt;&gt;0,MOD(H20,1)&lt;&gt;0,MOD(I20,1)&lt;&gt;0,MOD(J20,1)&lt;&gt;0,MOD(K20,1)&lt;&gt;0,MOD(L20,1)&lt;&gt;0,MOD(M20,1)&lt;&gt;0),"分数须为1至5整数",IF(ABS('试点设置'!$C$31-1)&gt;0.000001,"权重非100%","可比较"))))))</x:f>
        <x:v>待评分</x:v>
      </x:c>
      <x:c r="P20" s="10"/>
      <x:c r="Q20" s="13" t="n">
        <x:f>IF(O20&lt;&gt;"可比较",0,INDEX('配对比较'!$K$7:$K$42,MATCH(B20,'配对比较'!$A$7:$A$42,0)))</x:f>
        <x:v>0</x:v>
      </x:c>
    </x:row>
    <x:row r="21" ht="25" customHeight="1">
      <x:c r="A21" s="13" t="str">
        <x:v>F02-R1-TR</x:v>
      </x:c>
      <x:c r="B21" s="13" t="str">
        <x:f>IF(COUNTIFS('运行记录'!$A$7:$A$150,A21)=1,INDEX('运行记录'!$B$7:$B$150,MATCH(A21,'运行记录'!$A$7:$A$150,0)),"")</x:f>
        <x:v>F02-R1</x:v>
      </x:c>
      <x:c r="C21" s="13" t="str">
        <x:f>IF(COUNTIFS('运行记录'!$A$7:$A$150,A21)=1,INDEX('运行记录'!$C$7:$C$150,MATCH(A21,'运行记录'!$A$7:$A$150,0)),"")</x:f>
        <x:v>F02</x:v>
      </x:c>
      <x:c r="D21" s="13" t="str">
        <x:f>IF(COUNTIFS('运行记录'!$A$7:$A$150,A21)=1,INDEX('运行记录'!$E$7:$E$150,MATCH(A21,'运行记录'!$A$7:$A$150,0)),"")</x:f>
        <x:v>Trae</x:v>
      </x:c>
      <x:c r="E21" s="10"/>
      <x:c r="F21" s="56"/>
      <x:c r="G21" s="56"/>
      <x:c r="H21" s="56"/>
      <x:c r="I21" s="56"/>
      <x:c r="J21" s="56"/>
      <x:c r="K21" s="56"/>
      <x:c r="L21" s="56"/>
      <x:c r="M21" s="56"/>
      <x:c r="N21" s="50" t="str">
        <x:f>IF(O21="可比较",SUMPRODUCT(F21:M21,'试点设置'!$B$29:$I$29)*20,"")</x:f>
      </x:c>
      <x:c r="O21" s="13" t="str">
        <x:f>IF(COUNTA(E21:M21)+COUNTA(P21)=0,"待评分",IF(OR(COUNTIFS($A$7:$A$150,A21)&lt;&gt;1,COUNTIFS('运行记录'!$A$7:$A$150,A21)&lt;&gt;1),"ID重复或无效",IF(INDEX('运行记录'!$AE$7:$AE$150,MATCH(A21,'运行记录'!$A$7:$A$150,0))&lt;&gt;"纳入","运行记录未纳入",IF(OR(E21="",P21="",COUNT(F21:M21)&lt;&gt;8),"待补齐评分或证据",IF(OR(MIN(F21:M21)&lt;1,MAX(F21:M21)&gt;5,MOD(F21,1)&lt;&gt;0,MOD(G21,1)&lt;&gt;0,MOD(H21,1)&lt;&gt;0,MOD(I21,1)&lt;&gt;0,MOD(J21,1)&lt;&gt;0,MOD(K21,1)&lt;&gt;0,MOD(L21,1)&lt;&gt;0,MOD(M21,1)&lt;&gt;0),"分数须为1至5整数",IF(ABS('试点设置'!$C$31-1)&gt;0.000001,"权重非100%","可比较"))))))</x:f>
        <x:v>待评分</x:v>
      </x:c>
      <x:c r="P21" s="10"/>
      <x:c r="Q21" s="13" t="n">
        <x:f>IF(O21&lt;&gt;"可比较",0,INDEX('配对比较'!$K$7:$K$42,MATCH(B21,'配对比较'!$A$7:$A$42,0)))</x:f>
        <x:v>0</x:v>
      </x:c>
    </x:row>
    <x:row r="22" ht="25" customHeight="1">
      <x:c r="A22" s="13" t="str">
        <x:v>F02-R1-CA</x:v>
      </x:c>
      <x:c r="B22" s="13" t="str">
        <x:f>IF(COUNTIFS('运行记录'!$A$7:$A$150,A22)=1,INDEX('运行记录'!$B$7:$B$150,MATCH(A22,'运行记录'!$A$7:$A$150,0)),"")</x:f>
        <x:v>F02-R1</x:v>
      </x:c>
      <x:c r="C22" s="13" t="str">
        <x:f>IF(COUNTIFS('运行记录'!$A$7:$A$150,A22)=1,INDEX('运行记录'!$C$7:$C$150,MATCH(A22,'运行记录'!$A$7:$A$150,0)),"")</x:f>
        <x:v>F02</x:v>
      </x:c>
      <x:c r="D22" s="13" t="str">
        <x:f>IF(COUNTIFS('运行记录'!$A$7:$A$150,A22)=1,INDEX('运行记录'!$E$7:$E$150,MATCH(A22,'运行记录'!$A$7:$A$150,0)),"")</x:f>
        <x:v>CodeArts</x:v>
      </x:c>
      <x:c r="E22" s="10"/>
      <x:c r="F22" s="56"/>
      <x:c r="G22" s="56"/>
      <x:c r="H22" s="56"/>
      <x:c r="I22" s="56"/>
      <x:c r="J22" s="56"/>
      <x:c r="K22" s="56"/>
      <x:c r="L22" s="56"/>
      <x:c r="M22" s="56"/>
      <x:c r="N22" s="50" t="str">
        <x:f>IF(O22="可比较",SUMPRODUCT(F22:M22,'试点设置'!$B$29:$I$29)*20,"")</x:f>
      </x:c>
      <x:c r="O22" s="13" t="str">
        <x:f>IF(COUNTA(E22:M22)+COUNTA(P22)=0,"待评分",IF(OR(COUNTIFS($A$7:$A$150,A22)&lt;&gt;1,COUNTIFS('运行记录'!$A$7:$A$150,A22)&lt;&gt;1),"ID重复或无效",IF(INDEX('运行记录'!$AE$7:$AE$150,MATCH(A22,'运行记录'!$A$7:$A$150,0))&lt;&gt;"纳入","运行记录未纳入",IF(OR(E22="",P22="",COUNT(F22:M22)&lt;&gt;8),"待补齐评分或证据",IF(OR(MIN(F22:M22)&lt;1,MAX(F22:M22)&gt;5,MOD(F22,1)&lt;&gt;0,MOD(G22,1)&lt;&gt;0,MOD(H22,1)&lt;&gt;0,MOD(I22,1)&lt;&gt;0,MOD(J22,1)&lt;&gt;0,MOD(K22,1)&lt;&gt;0,MOD(L22,1)&lt;&gt;0,MOD(M22,1)&lt;&gt;0),"分数须为1至5整数",IF(ABS('试点设置'!$C$31-1)&gt;0.000001,"权重非100%","可比较"))))))</x:f>
        <x:v>待评分</x:v>
      </x:c>
      <x:c r="P22" s="10"/>
      <x:c r="Q22" s="13" t="n">
        <x:f>IF(O22&lt;&gt;"可比较",0,INDEX('配对比较'!$K$7:$K$42,MATCH(B22,'配对比较'!$A$7:$A$42,0)))</x:f>
        <x:v>0</x:v>
      </x:c>
    </x:row>
    <x:row r="23" ht="25" customHeight="1">
      <x:c r="A23" s="13" t="str">
        <x:v>F02-R2-CC</x:v>
      </x:c>
      <x:c r="B23" s="13" t="str">
        <x:f>IF(COUNTIFS('运行记录'!$A$7:$A$150,A23)=1,INDEX('运行记录'!$B$7:$B$150,MATCH(A23,'运行记录'!$A$7:$A$150,0)),"")</x:f>
        <x:v>F02-R2</x:v>
      </x:c>
      <x:c r="C23" s="13" t="str">
        <x:f>IF(COUNTIFS('运行记录'!$A$7:$A$150,A23)=1,INDEX('运行记录'!$C$7:$C$150,MATCH(A23,'运行记录'!$A$7:$A$150,0)),"")</x:f>
        <x:v>F02</x:v>
      </x:c>
      <x:c r="D23" s="13" t="str">
        <x:f>IF(COUNTIFS('运行记录'!$A$7:$A$150,A23)=1,INDEX('运行记录'!$E$7:$E$150,MATCH(A23,'运行记录'!$A$7:$A$150,0)),"")</x:f>
        <x:v>Claude Code</x:v>
      </x:c>
      <x:c r="E23" s="10"/>
      <x:c r="F23" s="56"/>
      <x:c r="G23" s="56"/>
      <x:c r="H23" s="56"/>
      <x:c r="I23" s="56"/>
      <x:c r="J23" s="56"/>
      <x:c r="K23" s="56"/>
      <x:c r="L23" s="56"/>
      <x:c r="M23" s="56"/>
      <x:c r="N23" s="50" t="str">
        <x:f>IF(O23="可比较",SUMPRODUCT(F23:M23,'试点设置'!$B$29:$I$29)*20,"")</x:f>
      </x:c>
      <x:c r="O23" s="13" t="str">
        <x:f>IF(COUNTA(E23:M23)+COUNTA(P23)=0,"待评分",IF(OR(COUNTIFS($A$7:$A$150,A23)&lt;&gt;1,COUNTIFS('运行记录'!$A$7:$A$150,A23)&lt;&gt;1),"ID重复或无效",IF(INDEX('运行记录'!$AE$7:$AE$150,MATCH(A23,'运行记录'!$A$7:$A$150,0))&lt;&gt;"纳入","运行记录未纳入",IF(OR(E23="",P23="",COUNT(F23:M23)&lt;&gt;8),"待补齐评分或证据",IF(OR(MIN(F23:M23)&lt;1,MAX(F23:M23)&gt;5,MOD(F23,1)&lt;&gt;0,MOD(G23,1)&lt;&gt;0,MOD(H23,1)&lt;&gt;0,MOD(I23,1)&lt;&gt;0,MOD(J23,1)&lt;&gt;0,MOD(K23,1)&lt;&gt;0,MOD(L23,1)&lt;&gt;0,MOD(M23,1)&lt;&gt;0),"分数须为1至5整数",IF(ABS('试点设置'!$C$31-1)&gt;0.000001,"权重非100%","可比较"))))))</x:f>
        <x:v>待评分</x:v>
      </x:c>
      <x:c r="P23" s="10"/>
      <x:c r="Q23" s="13" t="n">
        <x:f>IF(O23&lt;&gt;"可比较",0,INDEX('配对比较'!$K$7:$K$42,MATCH(B23,'配对比较'!$A$7:$A$42,0)))</x:f>
        <x:v>0</x:v>
      </x:c>
    </x:row>
    <x:row r="24" ht="25" customHeight="1">
      <x:c r="A24" s="13" t="str">
        <x:v>F02-R2-CX</x:v>
      </x:c>
      <x:c r="B24" s="13" t="str">
        <x:f>IF(COUNTIFS('运行记录'!$A$7:$A$150,A24)=1,INDEX('运行记录'!$B$7:$B$150,MATCH(A24,'运行记录'!$A$7:$A$150,0)),"")</x:f>
        <x:v>F02-R2</x:v>
      </x:c>
      <x:c r="C24" s="13" t="str">
        <x:f>IF(COUNTIFS('运行记录'!$A$7:$A$150,A24)=1,INDEX('运行记录'!$C$7:$C$150,MATCH(A24,'运行记录'!$A$7:$A$150,0)),"")</x:f>
        <x:v>F02</x:v>
      </x:c>
      <x:c r="D24" s="13" t="str">
        <x:f>IF(COUNTIFS('运行记录'!$A$7:$A$150,A24)=1,INDEX('运行记录'!$E$7:$E$150,MATCH(A24,'运行记录'!$A$7:$A$150,0)),"")</x:f>
        <x:v>Codex</x:v>
      </x:c>
      <x:c r="E24" s="10"/>
      <x:c r="F24" s="56"/>
      <x:c r="G24" s="56"/>
      <x:c r="H24" s="56"/>
      <x:c r="I24" s="56"/>
      <x:c r="J24" s="56"/>
      <x:c r="K24" s="56"/>
      <x:c r="L24" s="56"/>
      <x:c r="M24" s="56"/>
      <x:c r="N24" s="50" t="str">
        <x:f>IF(O24="可比较",SUMPRODUCT(F24:M24,'试点设置'!$B$29:$I$29)*20,"")</x:f>
      </x:c>
      <x:c r="O24" s="13" t="str">
        <x:f>IF(COUNTA(E24:M24)+COUNTA(P24)=0,"待评分",IF(OR(COUNTIFS($A$7:$A$150,A24)&lt;&gt;1,COUNTIFS('运行记录'!$A$7:$A$150,A24)&lt;&gt;1),"ID重复或无效",IF(INDEX('运行记录'!$AE$7:$AE$150,MATCH(A24,'运行记录'!$A$7:$A$150,0))&lt;&gt;"纳入","运行记录未纳入",IF(OR(E24="",P24="",COUNT(F24:M24)&lt;&gt;8),"待补齐评分或证据",IF(OR(MIN(F24:M24)&lt;1,MAX(F24:M24)&gt;5,MOD(F24,1)&lt;&gt;0,MOD(G24,1)&lt;&gt;0,MOD(H24,1)&lt;&gt;0,MOD(I24,1)&lt;&gt;0,MOD(J24,1)&lt;&gt;0,MOD(K24,1)&lt;&gt;0,MOD(L24,1)&lt;&gt;0,MOD(M24,1)&lt;&gt;0),"分数须为1至5整数",IF(ABS('试点设置'!$C$31-1)&gt;0.000001,"权重非100%","可比较"))))))</x:f>
        <x:v>待评分</x:v>
      </x:c>
      <x:c r="P24" s="10"/>
      <x:c r="Q24" s="13" t="n">
        <x:f>IF(O24&lt;&gt;"可比较",0,INDEX('配对比较'!$K$7:$K$42,MATCH(B24,'配对比较'!$A$7:$A$42,0)))</x:f>
        <x:v>0</x:v>
      </x:c>
    </x:row>
    <x:row r="25" ht="25" customHeight="1">
      <x:c r="A25" s="13" t="str">
        <x:v>F02-R2-TR</x:v>
      </x:c>
      <x:c r="B25" s="13" t="str">
        <x:f>IF(COUNTIFS('运行记录'!$A$7:$A$150,A25)=1,INDEX('运行记录'!$B$7:$B$150,MATCH(A25,'运行记录'!$A$7:$A$150,0)),"")</x:f>
        <x:v>F02-R2</x:v>
      </x:c>
      <x:c r="C25" s="13" t="str">
        <x:f>IF(COUNTIFS('运行记录'!$A$7:$A$150,A25)=1,INDEX('运行记录'!$C$7:$C$150,MATCH(A25,'运行记录'!$A$7:$A$150,0)),"")</x:f>
        <x:v>F02</x:v>
      </x:c>
      <x:c r="D25" s="13" t="str">
        <x:f>IF(COUNTIFS('运行记录'!$A$7:$A$150,A25)=1,INDEX('运行记录'!$E$7:$E$150,MATCH(A25,'运行记录'!$A$7:$A$150,0)),"")</x:f>
        <x:v>Trae</x:v>
      </x:c>
      <x:c r="E25" s="10"/>
      <x:c r="F25" s="56"/>
      <x:c r="G25" s="56"/>
      <x:c r="H25" s="56"/>
      <x:c r="I25" s="56"/>
      <x:c r="J25" s="56"/>
      <x:c r="K25" s="56"/>
      <x:c r="L25" s="56"/>
      <x:c r="M25" s="56"/>
      <x:c r="N25" s="50" t="str">
        <x:f>IF(O25="可比较",SUMPRODUCT(F25:M25,'试点设置'!$B$29:$I$29)*20,"")</x:f>
      </x:c>
      <x:c r="O25" s="13" t="str">
        <x:f>IF(COUNTA(E25:M25)+COUNTA(P25)=0,"待评分",IF(OR(COUNTIFS($A$7:$A$150,A25)&lt;&gt;1,COUNTIFS('运行记录'!$A$7:$A$150,A25)&lt;&gt;1),"ID重复或无效",IF(INDEX('运行记录'!$AE$7:$AE$150,MATCH(A25,'运行记录'!$A$7:$A$150,0))&lt;&gt;"纳入","运行记录未纳入",IF(OR(E25="",P25="",COUNT(F25:M25)&lt;&gt;8),"待补齐评分或证据",IF(OR(MIN(F25:M25)&lt;1,MAX(F25:M25)&gt;5,MOD(F25,1)&lt;&gt;0,MOD(G25,1)&lt;&gt;0,MOD(H25,1)&lt;&gt;0,MOD(I25,1)&lt;&gt;0,MOD(J25,1)&lt;&gt;0,MOD(K25,1)&lt;&gt;0,MOD(L25,1)&lt;&gt;0,MOD(M25,1)&lt;&gt;0),"分数须为1至5整数",IF(ABS('试点设置'!$C$31-1)&gt;0.000001,"权重非100%","可比较"))))))</x:f>
        <x:v>待评分</x:v>
      </x:c>
      <x:c r="P25" s="10"/>
      <x:c r="Q25" s="13" t="n">
        <x:f>IF(O25&lt;&gt;"可比较",0,INDEX('配对比较'!$K$7:$K$42,MATCH(B25,'配对比较'!$A$7:$A$42,0)))</x:f>
        <x:v>0</x:v>
      </x:c>
    </x:row>
    <x:row r="26" ht="25" customHeight="1">
      <x:c r="A26" s="13" t="str">
        <x:v>F02-R2-CA</x:v>
      </x:c>
      <x:c r="B26" s="13" t="str">
        <x:f>IF(COUNTIFS('运行记录'!$A$7:$A$150,A26)=1,INDEX('运行记录'!$B$7:$B$150,MATCH(A26,'运行记录'!$A$7:$A$150,0)),"")</x:f>
        <x:v>F02-R2</x:v>
      </x:c>
      <x:c r="C26" s="13" t="str">
        <x:f>IF(COUNTIFS('运行记录'!$A$7:$A$150,A26)=1,INDEX('运行记录'!$C$7:$C$150,MATCH(A26,'运行记录'!$A$7:$A$150,0)),"")</x:f>
        <x:v>F02</x:v>
      </x:c>
      <x:c r="D26" s="13" t="str">
        <x:f>IF(COUNTIFS('运行记录'!$A$7:$A$150,A26)=1,INDEX('运行记录'!$E$7:$E$150,MATCH(A26,'运行记录'!$A$7:$A$150,0)),"")</x:f>
        <x:v>CodeArts</x:v>
      </x:c>
      <x:c r="E26" s="10"/>
      <x:c r="F26" s="56"/>
      <x:c r="G26" s="56"/>
      <x:c r="H26" s="56"/>
      <x:c r="I26" s="56"/>
      <x:c r="J26" s="56"/>
      <x:c r="K26" s="56"/>
      <x:c r="L26" s="56"/>
      <x:c r="M26" s="56"/>
      <x:c r="N26" s="50" t="str">
        <x:f>IF(O26="可比较",SUMPRODUCT(F26:M26,'试点设置'!$B$29:$I$29)*20,"")</x:f>
      </x:c>
      <x:c r="O26" s="13" t="str">
        <x:f>IF(COUNTA(E26:M26)+COUNTA(P26)=0,"待评分",IF(OR(COUNTIFS($A$7:$A$150,A26)&lt;&gt;1,COUNTIFS('运行记录'!$A$7:$A$150,A26)&lt;&gt;1),"ID重复或无效",IF(INDEX('运行记录'!$AE$7:$AE$150,MATCH(A26,'运行记录'!$A$7:$A$150,0))&lt;&gt;"纳入","运行记录未纳入",IF(OR(E26="",P26="",COUNT(F26:M26)&lt;&gt;8),"待补齐评分或证据",IF(OR(MIN(F26:M26)&lt;1,MAX(F26:M26)&gt;5,MOD(F26,1)&lt;&gt;0,MOD(G26,1)&lt;&gt;0,MOD(H26,1)&lt;&gt;0,MOD(I26,1)&lt;&gt;0,MOD(J26,1)&lt;&gt;0,MOD(K26,1)&lt;&gt;0,MOD(L26,1)&lt;&gt;0,MOD(M26,1)&lt;&gt;0),"分数须为1至5整数",IF(ABS('试点设置'!$C$31-1)&gt;0.000001,"权重非100%","可比较"))))))</x:f>
        <x:v>待评分</x:v>
      </x:c>
      <x:c r="P26" s="10"/>
      <x:c r="Q26" s="13" t="n">
        <x:f>IF(O26&lt;&gt;"可比较",0,INDEX('配对比较'!$K$7:$K$42,MATCH(B26,'配对比较'!$A$7:$A$42,0)))</x:f>
        <x:v>0</x:v>
      </x:c>
    </x:row>
    <x:row r="27" ht="25" customHeight="1">
      <x:c r="A27" s="13" t="str">
        <x:v>F02-R3-CC</x:v>
      </x:c>
      <x:c r="B27" s="13" t="str">
        <x:f>IF(COUNTIFS('运行记录'!$A$7:$A$150,A27)=1,INDEX('运行记录'!$B$7:$B$150,MATCH(A27,'运行记录'!$A$7:$A$150,0)),"")</x:f>
        <x:v>F02-R3</x:v>
      </x:c>
      <x:c r="C27" s="13" t="str">
        <x:f>IF(COUNTIFS('运行记录'!$A$7:$A$150,A27)=1,INDEX('运行记录'!$C$7:$C$150,MATCH(A27,'运行记录'!$A$7:$A$150,0)),"")</x:f>
        <x:v>F02</x:v>
      </x:c>
      <x:c r="D27" s="13" t="str">
        <x:f>IF(COUNTIFS('运行记录'!$A$7:$A$150,A27)=1,INDEX('运行记录'!$E$7:$E$150,MATCH(A27,'运行记录'!$A$7:$A$150,0)),"")</x:f>
        <x:v>Claude Code</x:v>
      </x:c>
      <x:c r="E27" s="10"/>
      <x:c r="F27" s="56"/>
      <x:c r="G27" s="56"/>
      <x:c r="H27" s="56"/>
      <x:c r="I27" s="56"/>
      <x:c r="J27" s="56"/>
      <x:c r="K27" s="56"/>
      <x:c r="L27" s="56"/>
      <x:c r="M27" s="56"/>
      <x:c r="N27" s="50" t="str">
        <x:f>IF(O27="可比较",SUMPRODUCT(F27:M27,'试点设置'!$B$29:$I$29)*20,"")</x:f>
      </x:c>
      <x:c r="O27" s="13" t="str">
        <x:f>IF(COUNTA(E27:M27)+COUNTA(P27)=0,"待评分",IF(OR(COUNTIFS($A$7:$A$150,A27)&lt;&gt;1,COUNTIFS('运行记录'!$A$7:$A$150,A27)&lt;&gt;1),"ID重复或无效",IF(INDEX('运行记录'!$AE$7:$AE$150,MATCH(A27,'运行记录'!$A$7:$A$150,0))&lt;&gt;"纳入","运行记录未纳入",IF(OR(E27="",P27="",COUNT(F27:M27)&lt;&gt;8),"待补齐评分或证据",IF(OR(MIN(F27:M27)&lt;1,MAX(F27:M27)&gt;5,MOD(F27,1)&lt;&gt;0,MOD(G27,1)&lt;&gt;0,MOD(H27,1)&lt;&gt;0,MOD(I27,1)&lt;&gt;0,MOD(J27,1)&lt;&gt;0,MOD(K27,1)&lt;&gt;0,MOD(L27,1)&lt;&gt;0,MOD(M27,1)&lt;&gt;0),"分数须为1至5整数",IF(ABS('试点设置'!$C$31-1)&gt;0.000001,"权重非100%","可比较"))))))</x:f>
        <x:v>待评分</x:v>
      </x:c>
      <x:c r="P27" s="10"/>
      <x:c r="Q27" s="13" t="n">
        <x:f>IF(O27&lt;&gt;"可比较",0,INDEX('配对比较'!$K$7:$K$42,MATCH(B27,'配对比较'!$A$7:$A$42,0)))</x:f>
        <x:v>0</x:v>
      </x:c>
    </x:row>
    <x:row r="28" ht="25" customHeight="1">
      <x:c r="A28" s="13" t="str">
        <x:v>F02-R3-CX</x:v>
      </x:c>
      <x:c r="B28" s="13" t="str">
        <x:f>IF(COUNTIFS('运行记录'!$A$7:$A$150,A28)=1,INDEX('运行记录'!$B$7:$B$150,MATCH(A28,'运行记录'!$A$7:$A$150,0)),"")</x:f>
        <x:v>F02-R3</x:v>
      </x:c>
      <x:c r="C28" s="13" t="str">
        <x:f>IF(COUNTIFS('运行记录'!$A$7:$A$150,A28)=1,INDEX('运行记录'!$C$7:$C$150,MATCH(A28,'运行记录'!$A$7:$A$150,0)),"")</x:f>
        <x:v>F02</x:v>
      </x:c>
      <x:c r="D28" s="13" t="str">
        <x:f>IF(COUNTIFS('运行记录'!$A$7:$A$150,A28)=1,INDEX('运行记录'!$E$7:$E$150,MATCH(A28,'运行记录'!$A$7:$A$150,0)),"")</x:f>
        <x:v>Codex</x:v>
      </x:c>
      <x:c r="E28" s="10"/>
      <x:c r="F28" s="56"/>
      <x:c r="G28" s="56"/>
      <x:c r="H28" s="56"/>
      <x:c r="I28" s="56"/>
      <x:c r="J28" s="56"/>
      <x:c r="K28" s="56"/>
      <x:c r="L28" s="56"/>
      <x:c r="M28" s="56"/>
      <x:c r="N28" s="50" t="str">
        <x:f>IF(O28="可比较",SUMPRODUCT(F28:M28,'试点设置'!$B$29:$I$29)*20,"")</x:f>
      </x:c>
      <x:c r="O28" s="13" t="str">
        <x:f>IF(COUNTA(E28:M28)+COUNTA(P28)=0,"待评分",IF(OR(COUNTIFS($A$7:$A$150,A28)&lt;&gt;1,COUNTIFS('运行记录'!$A$7:$A$150,A28)&lt;&gt;1),"ID重复或无效",IF(INDEX('运行记录'!$AE$7:$AE$150,MATCH(A28,'运行记录'!$A$7:$A$150,0))&lt;&gt;"纳入","运行记录未纳入",IF(OR(E28="",P28="",COUNT(F28:M28)&lt;&gt;8),"待补齐评分或证据",IF(OR(MIN(F28:M28)&lt;1,MAX(F28:M28)&gt;5,MOD(F28,1)&lt;&gt;0,MOD(G28,1)&lt;&gt;0,MOD(H28,1)&lt;&gt;0,MOD(I28,1)&lt;&gt;0,MOD(J28,1)&lt;&gt;0,MOD(K28,1)&lt;&gt;0,MOD(L28,1)&lt;&gt;0,MOD(M28,1)&lt;&gt;0),"分数须为1至5整数",IF(ABS('试点设置'!$C$31-1)&gt;0.000001,"权重非100%","可比较"))))))</x:f>
        <x:v>待评分</x:v>
      </x:c>
      <x:c r="P28" s="10"/>
      <x:c r="Q28" s="13" t="n">
        <x:f>IF(O28&lt;&gt;"可比较",0,INDEX('配对比较'!$K$7:$K$42,MATCH(B28,'配对比较'!$A$7:$A$42,0)))</x:f>
        <x:v>0</x:v>
      </x:c>
    </x:row>
    <x:row r="29" ht="25" customHeight="1">
      <x:c r="A29" s="13" t="str">
        <x:v>F02-R3-TR</x:v>
      </x:c>
      <x:c r="B29" s="13" t="str">
        <x:f>IF(COUNTIFS('运行记录'!$A$7:$A$150,A29)=1,INDEX('运行记录'!$B$7:$B$150,MATCH(A29,'运行记录'!$A$7:$A$150,0)),"")</x:f>
        <x:v>F02-R3</x:v>
      </x:c>
      <x:c r="C29" s="13" t="str">
        <x:f>IF(COUNTIFS('运行记录'!$A$7:$A$150,A29)=1,INDEX('运行记录'!$C$7:$C$150,MATCH(A29,'运行记录'!$A$7:$A$150,0)),"")</x:f>
        <x:v>F02</x:v>
      </x:c>
      <x:c r="D29" s="13" t="str">
        <x:f>IF(COUNTIFS('运行记录'!$A$7:$A$150,A29)=1,INDEX('运行记录'!$E$7:$E$150,MATCH(A29,'运行记录'!$A$7:$A$150,0)),"")</x:f>
        <x:v>Trae</x:v>
      </x:c>
      <x:c r="E29" s="10"/>
      <x:c r="F29" s="56"/>
      <x:c r="G29" s="56"/>
      <x:c r="H29" s="56"/>
      <x:c r="I29" s="56"/>
      <x:c r="J29" s="56"/>
      <x:c r="K29" s="56"/>
      <x:c r="L29" s="56"/>
      <x:c r="M29" s="56"/>
      <x:c r="N29" s="50" t="str">
        <x:f>IF(O29="可比较",SUMPRODUCT(F29:M29,'试点设置'!$B$29:$I$29)*20,"")</x:f>
      </x:c>
      <x:c r="O29" s="13" t="str">
        <x:f>IF(COUNTA(E29:M29)+COUNTA(P29)=0,"待评分",IF(OR(COUNTIFS($A$7:$A$150,A29)&lt;&gt;1,COUNTIFS('运行记录'!$A$7:$A$150,A29)&lt;&gt;1),"ID重复或无效",IF(INDEX('运行记录'!$AE$7:$AE$150,MATCH(A29,'运行记录'!$A$7:$A$150,0))&lt;&gt;"纳入","运行记录未纳入",IF(OR(E29="",P29="",COUNT(F29:M29)&lt;&gt;8),"待补齐评分或证据",IF(OR(MIN(F29:M29)&lt;1,MAX(F29:M29)&gt;5,MOD(F29,1)&lt;&gt;0,MOD(G29,1)&lt;&gt;0,MOD(H29,1)&lt;&gt;0,MOD(I29,1)&lt;&gt;0,MOD(J29,1)&lt;&gt;0,MOD(K29,1)&lt;&gt;0,MOD(L29,1)&lt;&gt;0,MOD(M29,1)&lt;&gt;0),"分数须为1至5整数",IF(ABS('试点设置'!$C$31-1)&gt;0.000001,"权重非100%","可比较"))))))</x:f>
        <x:v>待评分</x:v>
      </x:c>
      <x:c r="P29" s="10"/>
      <x:c r="Q29" s="13" t="n">
        <x:f>IF(O29&lt;&gt;"可比较",0,INDEX('配对比较'!$K$7:$K$42,MATCH(B29,'配对比较'!$A$7:$A$42,0)))</x:f>
        <x:v>0</x:v>
      </x:c>
    </x:row>
    <x:row r="30" ht="25" customHeight="1">
      <x:c r="A30" s="13" t="str">
        <x:v>F02-R3-CA</x:v>
      </x:c>
      <x:c r="B30" s="13" t="str">
        <x:f>IF(COUNTIFS('运行记录'!$A$7:$A$150,A30)=1,INDEX('运行记录'!$B$7:$B$150,MATCH(A30,'运行记录'!$A$7:$A$150,0)),"")</x:f>
        <x:v>F02-R3</x:v>
      </x:c>
      <x:c r="C30" s="13" t="str">
        <x:f>IF(COUNTIFS('运行记录'!$A$7:$A$150,A30)=1,INDEX('运行记录'!$C$7:$C$150,MATCH(A30,'运行记录'!$A$7:$A$150,0)),"")</x:f>
        <x:v>F02</x:v>
      </x:c>
      <x:c r="D30" s="13" t="str">
        <x:f>IF(COUNTIFS('运行记录'!$A$7:$A$150,A30)=1,INDEX('运行记录'!$E$7:$E$150,MATCH(A30,'运行记录'!$A$7:$A$150,0)),"")</x:f>
        <x:v>CodeArts</x:v>
      </x:c>
      <x:c r="E30" s="10"/>
      <x:c r="F30" s="56"/>
      <x:c r="G30" s="56"/>
      <x:c r="H30" s="56"/>
      <x:c r="I30" s="56"/>
      <x:c r="J30" s="56"/>
      <x:c r="K30" s="56"/>
      <x:c r="L30" s="56"/>
      <x:c r="M30" s="56"/>
      <x:c r="N30" s="50" t="str">
        <x:f>IF(O30="可比较",SUMPRODUCT(F30:M30,'试点设置'!$B$29:$I$29)*20,"")</x:f>
      </x:c>
      <x:c r="O30" s="13" t="str">
        <x:f>IF(COUNTA(E30:M30)+COUNTA(P30)=0,"待评分",IF(OR(COUNTIFS($A$7:$A$150,A30)&lt;&gt;1,COUNTIFS('运行记录'!$A$7:$A$150,A30)&lt;&gt;1),"ID重复或无效",IF(INDEX('运行记录'!$AE$7:$AE$150,MATCH(A30,'运行记录'!$A$7:$A$150,0))&lt;&gt;"纳入","运行记录未纳入",IF(OR(E30="",P30="",COUNT(F30:M30)&lt;&gt;8),"待补齐评分或证据",IF(OR(MIN(F30:M30)&lt;1,MAX(F30:M30)&gt;5,MOD(F30,1)&lt;&gt;0,MOD(G30,1)&lt;&gt;0,MOD(H30,1)&lt;&gt;0,MOD(I30,1)&lt;&gt;0,MOD(J30,1)&lt;&gt;0,MOD(K30,1)&lt;&gt;0,MOD(L30,1)&lt;&gt;0,MOD(M30,1)&lt;&gt;0),"分数须为1至5整数",IF(ABS('试点设置'!$C$31-1)&gt;0.000001,"权重非100%","可比较"))))))</x:f>
        <x:v>待评分</x:v>
      </x:c>
      <x:c r="P30" s="10"/>
      <x:c r="Q30" s="13" t="n">
        <x:f>IF(O30&lt;&gt;"可比较",0,INDEX('配对比较'!$K$7:$K$42,MATCH(B30,'配对比较'!$A$7:$A$42,0)))</x:f>
        <x:v>0</x:v>
      </x:c>
    </x:row>
    <x:row r="31" ht="25" customHeight="1">
      <x:c r="A31" s="13" t="str">
        <x:v>F03-R1-CC</x:v>
      </x:c>
      <x:c r="B31" s="13" t="str">
        <x:f>IF(COUNTIFS('运行记录'!$A$7:$A$150,A31)=1,INDEX('运行记录'!$B$7:$B$150,MATCH(A31,'运行记录'!$A$7:$A$150,0)),"")</x:f>
        <x:v>F03-R1</x:v>
      </x:c>
      <x:c r="C31" s="13" t="str">
        <x:f>IF(COUNTIFS('运行记录'!$A$7:$A$150,A31)=1,INDEX('运行记录'!$C$7:$C$150,MATCH(A31,'运行记录'!$A$7:$A$150,0)),"")</x:f>
        <x:v>F03</x:v>
      </x:c>
      <x:c r="D31" s="13" t="str">
        <x:f>IF(COUNTIFS('运行记录'!$A$7:$A$150,A31)=1,INDEX('运行记录'!$E$7:$E$150,MATCH(A31,'运行记录'!$A$7:$A$150,0)),"")</x:f>
        <x:v>Claude Code</x:v>
      </x:c>
      <x:c r="E31" s="10"/>
      <x:c r="F31" s="56"/>
      <x:c r="G31" s="56"/>
      <x:c r="H31" s="56"/>
      <x:c r="I31" s="56"/>
      <x:c r="J31" s="56"/>
      <x:c r="K31" s="56"/>
      <x:c r="L31" s="56"/>
      <x:c r="M31" s="56"/>
      <x:c r="N31" s="50" t="str">
        <x:f>IF(O31="可比较",SUMPRODUCT(F31:M31,'试点设置'!$B$29:$I$29)*20,"")</x:f>
      </x:c>
      <x:c r="O31" s="13" t="str">
        <x:f>IF(COUNTA(E31:M31)+COUNTA(P31)=0,"待评分",IF(OR(COUNTIFS($A$7:$A$150,A31)&lt;&gt;1,COUNTIFS('运行记录'!$A$7:$A$150,A31)&lt;&gt;1),"ID重复或无效",IF(INDEX('运行记录'!$AE$7:$AE$150,MATCH(A31,'运行记录'!$A$7:$A$150,0))&lt;&gt;"纳入","运行记录未纳入",IF(OR(E31="",P31="",COUNT(F31:M31)&lt;&gt;8),"待补齐评分或证据",IF(OR(MIN(F31:M31)&lt;1,MAX(F31:M31)&gt;5,MOD(F31,1)&lt;&gt;0,MOD(G31,1)&lt;&gt;0,MOD(H31,1)&lt;&gt;0,MOD(I31,1)&lt;&gt;0,MOD(J31,1)&lt;&gt;0,MOD(K31,1)&lt;&gt;0,MOD(L31,1)&lt;&gt;0,MOD(M31,1)&lt;&gt;0),"分数须为1至5整数",IF(ABS('试点设置'!$C$31-1)&gt;0.000001,"权重非100%","可比较"))))))</x:f>
        <x:v>待评分</x:v>
      </x:c>
      <x:c r="P31" s="10"/>
      <x:c r="Q31" s="13" t="n">
        <x:f>IF(O31&lt;&gt;"可比较",0,INDEX('配对比较'!$K$7:$K$42,MATCH(B31,'配对比较'!$A$7:$A$42,0)))</x:f>
        <x:v>0</x:v>
      </x:c>
    </x:row>
    <x:row r="32" ht="25" customHeight="1">
      <x:c r="A32" s="13" t="str">
        <x:v>F03-R1-CX</x:v>
      </x:c>
      <x:c r="B32" s="13" t="str">
        <x:f>IF(COUNTIFS('运行记录'!$A$7:$A$150,A32)=1,INDEX('运行记录'!$B$7:$B$150,MATCH(A32,'运行记录'!$A$7:$A$150,0)),"")</x:f>
        <x:v>F03-R1</x:v>
      </x:c>
      <x:c r="C32" s="13" t="str">
        <x:f>IF(COUNTIFS('运行记录'!$A$7:$A$150,A32)=1,INDEX('运行记录'!$C$7:$C$150,MATCH(A32,'运行记录'!$A$7:$A$150,0)),"")</x:f>
        <x:v>F03</x:v>
      </x:c>
      <x:c r="D32" s="13" t="str">
        <x:f>IF(COUNTIFS('运行记录'!$A$7:$A$150,A32)=1,INDEX('运行记录'!$E$7:$E$150,MATCH(A32,'运行记录'!$A$7:$A$150,0)),"")</x:f>
        <x:v>Codex</x:v>
      </x:c>
      <x:c r="E32" s="10"/>
      <x:c r="F32" s="56"/>
      <x:c r="G32" s="56"/>
      <x:c r="H32" s="56"/>
      <x:c r="I32" s="56"/>
      <x:c r="J32" s="56"/>
      <x:c r="K32" s="56"/>
      <x:c r="L32" s="56"/>
      <x:c r="M32" s="56"/>
      <x:c r="N32" s="50" t="str">
        <x:f>IF(O32="可比较",SUMPRODUCT(F32:M32,'试点设置'!$B$29:$I$29)*20,"")</x:f>
      </x:c>
      <x:c r="O32" s="13" t="str">
        <x:f>IF(COUNTA(E32:M32)+COUNTA(P32)=0,"待评分",IF(OR(COUNTIFS($A$7:$A$150,A32)&lt;&gt;1,COUNTIFS('运行记录'!$A$7:$A$150,A32)&lt;&gt;1),"ID重复或无效",IF(INDEX('运行记录'!$AE$7:$AE$150,MATCH(A32,'运行记录'!$A$7:$A$150,0))&lt;&gt;"纳入","运行记录未纳入",IF(OR(E32="",P32="",COUNT(F32:M32)&lt;&gt;8),"待补齐评分或证据",IF(OR(MIN(F32:M32)&lt;1,MAX(F32:M32)&gt;5,MOD(F32,1)&lt;&gt;0,MOD(G32,1)&lt;&gt;0,MOD(H32,1)&lt;&gt;0,MOD(I32,1)&lt;&gt;0,MOD(J32,1)&lt;&gt;0,MOD(K32,1)&lt;&gt;0,MOD(L32,1)&lt;&gt;0,MOD(M32,1)&lt;&gt;0),"分数须为1至5整数",IF(ABS('试点设置'!$C$31-1)&gt;0.000001,"权重非100%","可比较"))))))</x:f>
        <x:v>待评分</x:v>
      </x:c>
      <x:c r="P32" s="10"/>
      <x:c r="Q32" s="13" t="n">
        <x:f>IF(O32&lt;&gt;"可比较",0,INDEX('配对比较'!$K$7:$K$42,MATCH(B32,'配对比较'!$A$7:$A$42,0)))</x:f>
        <x:v>0</x:v>
      </x:c>
    </x:row>
    <x:row r="33" ht="25" customHeight="1">
      <x:c r="A33" s="13" t="str">
        <x:v>F03-R1-TR</x:v>
      </x:c>
      <x:c r="B33" s="13" t="str">
        <x:f>IF(COUNTIFS('运行记录'!$A$7:$A$150,A33)=1,INDEX('运行记录'!$B$7:$B$150,MATCH(A33,'运行记录'!$A$7:$A$150,0)),"")</x:f>
        <x:v>F03-R1</x:v>
      </x:c>
      <x:c r="C33" s="13" t="str">
        <x:f>IF(COUNTIFS('运行记录'!$A$7:$A$150,A33)=1,INDEX('运行记录'!$C$7:$C$150,MATCH(A33,'运行记录'!$A$7:$A$150,0)),"")</x:f>
        <x:v>F03</x:v>
      </x:c>
      <x:c r="D33" s="13" t="str">
        <x:f>IF(COUNTIFS('运行记录'!$A$7:$A$150,A33)=1,INDEX('运行记录'!$E$7:$E$150,MATCH(A33,'运行记录'!$A$7:$A$150,0)),"")</x:f>
        <x:v>Trae</x:v>
      </x:c>
      <x:c r="E33" s="10"/>
      <x:c r="F33" s="56"/>
      <x:c r="G33" s="56"/>
      <x:c r="H33" s="56"/>
      <x:c r="I33" s="56"/>
      <x:c r="J33" s="56"/>
      <x:c r="K33" s="56"/>
      <x:c r="L33" s="56"/>
      <x:c r="M33" s="56"/>
      <x:c r="N33" s="50" t="str">
        <x:f>IF(O33="可比较",SUMPRODUCT(F33:M33,'试点设置'!$B$29:$I$29)*20,"")</x:f>
      </x:c>
      <x:c r="O33" s="13" t="str">
        <x:f>IF(COUNTA(E33:M33)+COUNTA(P33)=0,"待评分",IF(OR(COUNTIFS($A$7:$A$150,A33)&lt;&gt;1,COUNTIFS('运行记录'!$A$7:$A$150,A33)&lt;&gt;1),"ID重复或无效",IF(INDEX('运行记录'!$AE$7:$AE$150,MATCH(A33,'运行记录'!$A$7:$A$150,0))&lt;&gt;"纳入","运行记录未纳入",IF(OR(E33="",P33="",COUNT(F33:M33)&lt;&gt;8),"待补齐评分或证据",IF(OR(MIN(F33:M33)&lt;1,MAX(F33:M33)&gt;5,MOD(F33,1)&lt;&gt;0,MOD(G33,1)&lt;&gt;0,MOD(H33,1)&lt;&gt;0,MOD(I33,1)&lt;&gt;0,MOD(J33,1)&lt;&gt;0,MOD(K33,1)&lt;&gt;0,MOD(L33,1)&lt;&gt;0,MOD(M33,1)&lt;&gt;0),"分数须为1至5整数",IF(ABS('试点设置'!$C$31-1)&gt;0.000001,"权重非100%","可比较"))))))</x:f>
        <x:v>待评分</x:v>
      </x:c>
      <x:c r="P33" s="10"/>
      <x:c r="Q33" s="13" t="n">
        <x:f>IF(O33&lt;&gt;"可比较",0,INDEX('配对比较'!$K$7:$K$42,MATCH(B33,'配对比较'!$A$7:$A$42,0)))</x:f>
        <x:v>0</x:v>
      </x:c>
    </x:row>
    <x:row r="34" ht="25" customHeight="1">
      <x:c r="A34" s="13" t="str">
        <x:v>F03-R1-CA</x:v>
      </x:c>
      <x:c r="B34" s="13" t="str">
        <x:f>IF(COUNTIFS('运行记录'!$A$7:$A$150,A34)=1,INDEX('运行记录'!$B$7:$B$150,MATCH(A34,'运行记录'!$A$7:$A$150,0)),"")</x:f>
        <x:v>F03-R1</x:v>
      </x:c>
      <x:c r="C34" s="13" t="str">
        <x:f>IF(COUNTIFS('运行记录'!$A$7:$A$150,A34)=1,INDEX('运行记录'!$C$7:$C$150,MATCH(A34,'运行记录'!$A$7:$A$150,0)),"")</x:f>
        <x:v>F03</x:v>
      </x:c>
      <x:c r="D34" s="13" t="str">
        <x:f>IF(COUNTIFS('运行记录'!$A$7:$A$150,A34)=1,INDEX('运行记录'!$E$7:$E$150,MATCH(A34,'运行记录'!$A$7:$A$150,0)),"")</x:f>
        <x:v>CodeArts</x:v>
      </x:c>
      <x:c r="E34" s="10"/>
      <x:c r="F34" s="56"/>
      <x:c r="G34" s="56"/>
      <x:c r="H34" s="56"/>
      <x:c r="I34" s="56"/>
      <x:c r="J34" s="56"/>
      <x:c r="K34" s="56"/>
      <x:c r="L34" s="56"/>
      <x:c r="M34" s="56"/>
      <x:c r="N34" s="50" t="str">
        <x:f>IF(O34="可比较",SUMPRODUCT(F34:M34,'试点设置'!$B$29:$I$29)*20,"")</x:f>
      </x:c>
      <x:c r="O34" s="13" t="str">
        <x:f>IF(COUNTA(E34:M34)+COUNTA(P34)=0,"待评分",IF(OR(COUNTIFS($A$7:$A$150,A34)&lt;&gt;1,COUNTIFS('运行记录'!$A$7:$A$150,A34)&lt;&gt;1),"ID重复或无效",IF(INDEX('运行记录'!$AE$7:$AE$150,MATCH(A34,'运行记录'!$A$7:$A$150,0))&lt;&gt;"纳入","运行记录未纳入",IF(OR(E34="",P34="",COUNT(F34:M34)&lt;&gt;8),"待补齐评分或证据",IF(OR(MIN(F34:M34)&lt;1,MAX(F34:M34)&gt;5,MOD(F34,1)&lt;&gt;0,MOD(G34,1)&lt;&gt;0,MOD(H34,1)&lt;&gt;0,MOD(I34,1)&lt;&gt;0,MOD(J34,1)&lt;&gt;0,MOD(K34,1)&lt;&gt;0,MOD(L34,1)&lt;&gt;0,MOD(M34,1)&lt;&gt;0),"分数须为1至5整数",IF(ABS('试点设置'!$C$31-1)&gt;0.000001,"权重非100%","可比较"))))))</x:f>
        <x:v>待评分</x:v>
      </x:c>
      <x:c r="P34" s="10"/>
      <x:c r="Q34" s="13" t="n">
        <x:f>IF(O34&lt;&gt;"可比较",0,INDEX('配对比较'!$K$7:$K$42,MATCH(B34,'配对比较'!$A$7:$A$42,0)))</x:f>
        <x:v>0</x:v>
      </x:c>
    </x:row>
    <x:row r="35" ht="25" customHeight="1">
      <x:c r="A35" s="13" t="str">
        <x:v>F03-R2-CC</x:v>
      </x:c>
      <x:c r="B35" s="13" t="str">
        <x:f>IF(COUNTIFS('运行记录'!$A$7:$A$150,A35)=1,INDEX('运行记录'!$B$7:$B$150,MATCH(A35,'运行记录'!$A$7:$A$150,0)),"")</x:f>
        <x:v>F03-R2</x:v>
      </x:c>
      <x:c r="C35" s="13" t="str">
        <x:f>IF(COUNTIFS('运行记录'!$A$7:$A$150,A35)=1,INDEX('运行记录'!$C$7:$C$150,MATCH(A35,'运行记录'!$A$7:$A$150,0)),"")</x:f>
        <x:v>F03</x:v>
      </x:c>
      <x:c r="D35" s="13" t="str">
        <x:f>IF(COUNTIFS('运行记录'!$A$7:$A$150,A35)=1,INDEX('运行记录'!$E$7:$E$150,MATCH(A35,'运行记录'!$A$7:$A$150,0)),"")</x:f>
        <x:v>Claude Code</x:v>
      </x:c>
      <x:c r="E35" s="10"/>
      <x:c r="F35" s="56"/>
      <x:c r="G35" s="56"/>
      <x:c r="H35" s="56"/>
      <x:c r="I35" s="56"/>
      <x:c r="J35" s="56"/>
      <x:c r="K35" s="56"/>
      <x:c r="L35" s="56"/>
      <x:c r="M35" s="56"/>
      <x:c r="N35" s="50" t="str">
        <x:f>IF(O35="可比较",SUMPRODUCT(F35:M35,'试点设置'!$B$29:$I$29)*20,"")</x:f>
      </x:c>
      <x:c r="O35" s="13" t="str">
        <x:f>IF(COUNTA(E35:M35)+COUNTA(P35)=0,"待评分",IF(OR(COUNTIFS($A$7:$A$150,A35)&lt;&gt;1,COUNTIFS('运行记录'!$A$7:$A$150,A35)&lt;&gt;1),"ID重复或无效",IF(INDEX('运行记录'!$AE$7:$AE$150,MATCH(A35,'运行记录'!$A$7:$A$150,0))&lt;&gt;"纳入","运行记录未纳入",IF(OR(E35="",P35="",COUNT(F35:M35)&lt;&gt;8),"待补齐评分或证据",IF(OR(MIN(F35:M35)&lt;1,MAX(F35:M35)&gt;5,MOD(F35,1)&lt;&gt;0,MOD(G35,1)&lt;&gt;0,MOD(H35,1)&lt;&gt;0,MOD(I35,1)&lt;&gt;0,MOD(J35,1)&lt;&gt;0,MOD(K35,1)&lt;&gt;0,MOD(L35,1)&lt;&gt;0,MOD(M35,1)&lt;&gt;0),"分数须为1至5整数",IF(ABS('试点设置'!$C$31-1)&gt;0.000001,"权重非100%","可比较"))))))</x:f>
        <x:v>待评分</x:v>
      </x:c>
      <x:c r="P35" s="10"/>
      <x:c r="Q35" s="13" t="n">
        <x:f>IF(O35&lt;&gt;"可比较",0,INDEX('配对比较'!$K$7:$K$42,MATCH(B35,'配对比较'!$A$7:$A$42,0)))</x:f>
        <x:v>0</x:v>
      </x:c>
    </x:row>
    <x:row r="36" ht="25" customHeight="1">
      <x:c r="A36" s="13" t="str">
        <x:v>F03-R2-CX</x:v>
      </x:c>
      <x:c r="B36" s="13" t="str">
        <x:f>IF(COUNTIFS('运行记录'!$A$7:$A$150,A36)=1,INDEX('运行记录'!$B$7:$B$150,MATCH(A36,'运行记录'!$A$7:$A$150,0)),"")</x:f>
        <x:v>F03-R2</x:v>
      </x:c>
      <x:c r="C36" s="13" t="str">
        <x:f>IF(COUNTIFS('运行记录'!$A$7:$A$150,A36)=1,INDEX('运行记录'!$C$7:$C$150,MATCH(A36,'运行记录'!$A$7:$A$150,0)),"")</x:f>
        <x:v>F03</x:v>
      </x:c>
      <x:c r="D36" s="13" t="str">
        <x:f>IF(COUNTIFS('运行记录'!$A$7:$A$150,A36)=1,INDEX('运行记录'!$E$7:$E$150,MATCH(A36,'运行记录'!$A$7:$A$150,0)),"")</x:f>
        <x:v>Codex</x:v>
      </x:c>
      <x:c r="E36" s="10"/>
      <x:c r="F36" s="56"/>
      <x:c r="G36" s="56"/>
      <x:c r="H36" s="56"/>
      <x:c r="I36" s="56"/>
      <x:c r="J36" s="56"/>
      <x:c r="K36" s="56"/>
      <x:c r="L36" s="56"/>
      <x:c r="M36" s="56"/>
      <x:c r="N36" s="50" t="str">
        <x:f>IF(O36="可比较",SUMPRODUCT(F36:M36,'试点设置'!$B$29:$I$29)*20,"")</x:f>
      </x:c>
      <x:c r="O36" s="13" t="str">
        <x:f>IF(COUNTA(E36:M36)+COUNTA(P36)=0,"待评分",IF(OR(COUNTIFS($A$7:$A$150,A36)&lt;&gt;1,COUNTIFS('运行记录'!$A$7:$A$150,A36)&lt;&gt;1),"ID重复或无效",IF(INDEX('运行记录'!$AE$7:$AE$150,MATCH(A36,'运行记录'!$A$7:$A$150,0))&lt;&gt;"纳入","运行记录未纳入",IF(OR(E36="",P36="",COUNT(F36:M36)&lt;&gt;8),"待补齐评分或证据",IF(OR(MIN(F36:M36)&lt;1,MAX(F36:M36)&gt;5,MOD(F36,1)&lt;&gt;0,MOD(G36,1)&lt;&gt;0,MOD(H36,1)&lt;&gt;0,MOD(I36,1)&lt;&gt;0,MOD(J36,1)&lt;&gt;0,MOD(K36,1)&lt;&gt;0,MOD(L36,1)&lt;&gt;0,MOD(M36,1)&lt;&gt;0),"分数须为1至5整数",IF(ABS('试点设置'!$C$31-1)&gt;0.000001,"权重非100%","可比较"))))))</x:f>
        <x:v>待评分</x:v>
      </x:c>
      <x:c r="P36" s="10"/>
      <x:c r="Q36" s="13" t="n">
        <x:f>IF(O36&lt;&gt;"可比较",0,INDEX('配对比较'!$K$7:$K$42,MATCH(B36,'配对比较'!$A$7:$A$42,0)))</x:f>
        <x:v>0</x:v>
      </x:c>
    </x:row>
    <x:row r="37" ht="25" customHeight="1">
      <x:c r="A37" s="13" t="str">
        <x:v>F03-R2-TR</x:v>
      </x:c>
      <x:c r="B37" s="13" t="str">
        <x:f>IF(COUNTIFS('运行记录'!$A$7:$A$150,A37)=1,INDEX('运行记录'!$B$7:$B$150,MATCH(A37,'运行记录'!$A$7:$A$150,0)),"")</x:f>
        <x:v>F03-R2</x:v>
      </x:c>
      <x:c r="C37" s="13" t="str">
        <x:f>IF(COUNTIFS('运行记录'!$A$7:$A$150,A37)=1,INDEX('运行记录'!$C$7:$C$150,MATCH(A37,'运行记录'!$A$7:$A$150,0)),"")</x:f>
        <x:v>F03</x:v>
      </x:c>
      <x:c r="D37" s="13" t="str">
        <x:f>IF(COUNTIFS('运行记录'!$A$7:$A$150,A37)=1,INDEX('运行记录'!$E$7:$E$150,MATCH(A37,'运行记录'!$A$7:$A$150,0)),"")</x:f>
        <x:v>Trae</x:v>
      </x:c>
      <x:c r="E37" s="10"/>
      <x:c r="F37" s="56"/>
      <x:c r="G37" s="56"/>
      <x:c r="H37" s="56"/>
      <x:c r="I37" s="56"/>
      <x:c r="J37" s="56"/>
      <x:c r="K37" s="56"/>
      <x:c r="L37" s="56"/>
      <x:c r="M37" s="56"/>
      <x:c r="N37" s="50" t="str">
        <x:f>IF(O37="可比较",SUMPRODUCT(F37:M37,'试点设置'!$B$29:$I$29)*20,"")</x:f>
      </x:c>
      <x:c r="O37" s="13" t="str">
        <x:f>IF(COUNTA(E37:M37)+COUNTA(P37)=0,"待评分",IF(OR(COUNTIFS($A$7:$A$150,A37)&lt;&gt;1,COUNTIFS('运行记录'!$A$7:$A$150,A37)&lt;&gt;1),"ID重复或无效",IF(INDEX('运行记录'!$AE$7:$AE$150,MATCH(A37,'运行记录'!$A$7:$A$150,0))&lt;&gt;"纳入","运行记录未纳入",IF(OR(E37="",P37="",COUNT(F37:M37)&lt;&gt;8),"待补齐评分或证据",IF(OR(MIN(F37:M37)&lt;1,MAX(F37:M37)&gt;5,MOD(F37,1)&lt;&gt;0,MOD(G37,1)&lt;&gt;0,MOD(H37,1)&lt;&gt;0,MOD(I37,1)&lt;&gt;0,MOD(J37,1)&lt;&gt;0,MOD(K37,1)&lt;&gt;0,MOD(L37,1)&lt;&gt;0,MOD(M37,1)&lt;&gt;0),"分数须为1至5整数",IF(ABS('试点设置'!$C$31-1)&gt;0.000001,"权重非100%","可比较"))))))</x:f>
        <x:v>待评分</x:v>
      </x:c>
      <x:c r="P37" s="10"/>
      <x:c r="Q37" s="13" t="n">
        <x:f>IF(O37&lt;&gt;"可比较",0,INDEX('配对比较'!$K$7:$K$42,MATCH(B37,'配对比较'!$A$7:$A$42,0)))</x:f>
        <x:v>0</x:v>
      </x:c>
    </x:row>
    <x:row r="38" ht="25" customHeight="1">
      <x:c r="A38" s="13" t="str">
        <x:v>F03-R2-CA</x:v>
      </x:c>
      <x:c r="B38" s="13" t="str">
        <x:f>IF(COUNTIFS('运行记录'!$A$7:$A$150,A38)=1,INDEX('运行记录'!$B$7:$B$150,MATCH(A38,'运行记录'!$A$7:$A$150,0)),"")</x:f>
        <x:v>F03-R2</x:v>
      </x:c>
      <x:c r="C38" s="13" t="str">
        <x:f>IF(COUNTIFS('运行记录'!$A$7:$A$150,A38)=1,INDEX('运行记录'!$C$7:$C$150,MATCH(A38,'运行记录'!$A$7:$A$150,0)),"")</x:f>
        <x:v>F03</x:v>
      </x:c>
      <x:c r="D38" s="13" t="str">
        <x:f>IF(COUNTIFS('运行记录'!$A$7:$A$150,A38)=1,INDEX('运行记录'!$E$7:$E$150,MATCH(A38,'运行记录'!$A$7:$A$150,0)),"")</x:f>
        <x:v>CodeArts</x:v>
      </x:c>
      <x:c r="E38" s="10"/>
      <x:c r="F38" s="56"/>
      <x:c r="G38" s="56"/>
      <x:c r="H38" s="56"/>
      <x:c r="I38" s="56"/>
      <x:c r="J38" s="56"/>
      <x:c r="K38" s="56"/>
      <x:c r="L38" s="56"/>
      <x:c r="M38" s="56"/>
      <x:c r="N38" s="50" t="str">
        <x:f>IF(O38="可比较",SUMPRODUCT(F38:M38,'试点设置'!$B$29:$I$29)*20,"")</x:f>
      </x:c>
      <x:c r="O38" s="13" t="str">
        <x:f>IF(COUNTA(E38:M38)+COUNTA(P38)=0,"待评分",IF(OR(COUNTIFS($A$7:$A$150,A38)&lt;&gt;1,COUNTIFS('运行记录'!$A$7:$A$150,A38)&lt;&gt;1),"ID重复或无效",IF(INDEX('运行记录'!$AE$7:$AE$150,MATCH(A38,'运行记录'!$A$7:$A$150,0))&lt;&gt;"纳入","运行记录未纳入",IF(OR(E38="",P38="",COUNT(F38:M38)&lt;&gt;8),"待补齐评分或证据",IF(OR(MIN(F38:M38)&lt;1,MAX(F38:M38)&gt;5,MOD(F38,1)&lt;&gt;0,MOD(G38,1)&lt;&gt;0,MOD(H38,1)&lt;&gt;0,MOD(I38,1)&lt;&gt;0,MOD(J38,1)&lt;&gt;0,MOD(K38,1)&lt;&gt;0,MOD(L38,1)&lt;&gt;0,MOD(M38,1)&lt;&gt;0),"分数须为1至5整数",IF(ABS('试点设置'!$C$31-1)&gt;0.000001,"权重非100%","可比较"))))))</x:f>
        <x:v>待评分</x:v>
      </x:c>
      <x:c r="P38" s="10"/>
      <x:c r="Q38" s="13" t="n">
        <x:f>IF(O38&lt;&gt;"可比较",0,INDEX('配对比较'!$K$7:$K$42,MATCH(B38,'配对比较'!$A$7:$A$42,0)))</x:f>
        <x:v>0</x:v>
      </x:c>
    </x:row>
    <x:row r="39" ht="25" customHeight="1">
      <x:c r="A39" s="13" t="str">
        <x:v>F03-R3-CC</x:v>
      </x:c>
      <x:c r="B39" s="13" t="str">
        <x:f>IF(COUNTIFS('运行记录'!$A$7:$A$150,A39)=1,INDEX('运行记录'!$B$7:$B$150,MATCH(A39,'运行记录'!$A$7:$A$150,0)),"")</x:f>
        <x:v>F03-R3</x:v>
      </x:c>
      <x:c r="C39" s="13" t="str">
        <x:f>IF(COUNTIFS('运行记录'!$A$7:$A$150,A39)=1,INDEX('运行记录'!$C$7:$C$150,MATCH(A39,'运行记录'!$A$7:$A$150,0)),"")</x:f>
        <x:v>F03</x:v>
      </x:c>
      <x:c r="D39" s="13" t="str">
        <x:f>IF(COUNTIFS('运行记录'!$A$7:$A$150,A39)=1,INDEX('运行记录'!$E$7:$E$150,MATCH(A39,'运行记录'!$A$7:$A$150,0)),"")</x:f>
        <x:v>Claude Code</x:v>
      </x:c>
      <x:c r="E39" s="10"/>
      <x:c r="F39" s="56"/>
      <x:c r="G39" s="56"/>
      <x:c r="H39" s="56"/>
      <x:c r="I39" s="56"/>
      <x:c r="J39" s="56"/>
      <x:c r="K39" s="56"/>
      <x:c r="L39" s="56"/>
      <x:c r="M39" s="56"/>
      <x:c r="N39" s="50" t="str">
        <x:f>IF(O39="可比较",SUMPRODUCT(F39:M39,'试点设置'!$B$29:$I$29)*20,"")</x:f>
      </x:c>
      <x:c r="O39" s="13" t="str">
        <x:f>IF(COUNTA(E39:M39)+COUNTA(P39)=0,"待评分",IF(OR(COUNTIFS($A$7:$A$150,A39)&lt;&gt;1,COUNTIFS('运行记录'!$A$7:$A$150,A39)&lt;&gt;1),"ID重复或无效",IF(INDEX('运行记录'!$AE$7:$AE$150,MATCH(A39,'运行记录'!$A$7:$A$150,0))&lt;&gt;"纳入","运行记录未纳入",IF(OR(E39="",P39="",COUNT(F39:M39)&lt;&gt;8),"待补齐评分或证据",IF(OR(MIN(F39:M39)&lt;1,MAX(F39:M39)&gt;5,MOD(F39,1)&lt;&gt;0,MOD(G39,1)&lt;&gt;0,MOD(H39,1)&lt;&gt;0,MOD(I39,1)&lt;&gt;0,MOD(J39,1)&lt;&gt;0,MOD(K39,1)&lt;&gt;0,MOD(L39,1)&lt;&gt;0,MOD(M39,1)&lt;&gt;0),"分数须为1至5整数",IF(ABS('试点设置'!$C$31-1)&gt;0.000001,"权重非100%","可比较"))))))</x:f>
        <x:v>待评分</x:v>
      </x:c>
      <x:c r="P39" s="10"/>
      <x:c r="Q39" s="13" t="n">
        <x:f>IF(O39&lt;&gt;"可比较",0,INDEX('配对比较'!$K$7:$K$42,MATCH(B39,'配对比较'!$A$7:$A$42,0)))</x:f>
        <x:v>0</x:v>
      </x:c>
    </x:row>
    <x:row r="40" ht="25" customHeight="1">
      <x:c r="A40" s="13" t="str">
        <x:v>F03-R3-CX</x:v>
      </x:c>
      <x:c r="B40" s="13" t="str">
        <x:f>IF(COUNTIFS('运行记录'!$A$7:$A$150,A40)=1,INDEX('运行记录'!$B$7:$B$150,MATCH(A40,'运行记录'!$A$7:$A$150,0)),"")</x:f>
        <x:v>F03-R3</x:v>
      </x:c>
      <x:c r="C40" s="13" t="str">
        <x:f>IF(COUNTIFS('运行记录'!$A$7:$A$150,A40)=1,INDEX('运行记录'!$C$7:$C$150,MATCH(A40,'运行记录'!$A$7:$A$150,0)),"")</x:f>
        <x:v>F03</x:v>
      </x:c>
      <x:c r="D40" s="13" t="str">
        <x:f>IF(COUNTIFS('运行记录'!$A$7:$A$150,A40)=1,INDEX('运行记录'!$E$7:$E$150,MATCH(A40,'运行记录'!$A$7:$A$150,0)),"")</x:f>
        <x:v>Codex</x:v>
      </x:c>
      <x:c r="E40" s="10"/>
      <x:c r="F40" s="56"/>
      <x:c r="G40" s="56"/>
      <x:c r="H40" s="56"/>
      <x:c r="I40" s="56"/>
      <x:c r="J40" s="56"/>
      <x:c r="K40" s="56"/>
      <x:c r="L40" s="56"/>
      <x:c r="M40" s="56"/>
      <x:c r="N40" s="50" t="str">
        <x:f>IF(O40="可比较",SUMPRODUCT(F40:M40,'试点设置'!$B$29:$I$29)*20,"")</x:f>
      </x:c>
      <x:c r="O40" s="13" t="str">
        <x:f>IF(COUNTA(E40:M40)+COUNTA(P40)=0,"待评分",IF(OR(COUNTIFS($A$7:$A$150,A40)&lt;&gt;1,COUNTIFS('运行记录'!$A$7:$A$150,A40)&lt;&gt;1),"ID重复或无效",IF(INDEX('运行记录'!$AE$7:$AE$150,MATCH(A40,'运行记录'!$A$7:$A$150,0))&lt;&gt;"纳入","运行记录未纳入",IF(OR(E40="",P40="",COUNT(F40:M40)&lt;&gt;8),"待补齐评分或证据",IF(OR(MIN(F40:M40)&lt;1,MAX(F40:M40)&gt;5,MOD(F40,1)&lt;&gt;0,MOD(G40,1)&lt;&gt;0,MOD(H40,1)&lt;&gt;0,MOD(I40,1)&lt;&gt;0,MOD(J40,1)&lt;&gt;0,MOD(K40,1)&lt;&gt;0,MOD(L40,1)&lt;&gt;0,MOD(M40,1)&lt;&gt;0),"分数须为1至5整数",IF(ABS('试点设置'!$C$31-1)&gt;0.000001,"权重非100%","可比较"))))))</x:f>
        <x:v>待评分</x:v>
      </x:c>
      <x:c r="P40" s="10"/>
      <x:c r="Q40" s="13" t="n">
        <x:f>IF(O40&lt;&gt;"可比较",0,INDEX('配对比较'!$K$7:$K$42,MATCH(B40,'配对比较'!$A$7:$A$42,0)))</x:f>
        <x:v>0</x:v>
      </x:c>
    </x:row>
    <x:row r="41" ht="25" customHeight="1">
      <x:c r="A41" s="13" t="str">
        <x:v>F03-R3-TR</x:v>
      </x:c>
      <x:c r="B41" s="13" t="str">
        <x:f>IF(COUNTIFS('运行记录'!$A$7:$A$150,A41)=1,INDEX('运行记录'!$B$7:$B$150,MATCH(A41,'运行记录'!$A$7:$A$150,0)),"")</x:f>
        <x:v>F03-R3</x:v>
      </x:c>
      <x:c r="C41" s="13" t="str">
        <x:f>IF(COUNTIFS('运行记录'!$A$7:$A$150,A41)=1,INDEX('运行记录'!$C$7:$C$150,MATCH(A41,'运行记录'!$A$7:$A$150,0)),"")</x:f>
        <x:v>F03</x:v>
      </x:c>
      <x:c r="D41" s="13" t="str">
        <x:f>IF(COUNTIFS('运行记录'!$A$7:$A$150,A41)=1,INDEX('运行记录'!$E$7:$E$150,MATCH(A41,'运行记录'!$A$7:$A$150,0)),"")</x:f>
        <x:v>Trae</x:v>
      </x:c>
      <x:c r="E41" s="10"/>
      <x:c r="F41" s="56"/>
      <x:c r="G41" s="56"/>
      <x:c r="H41" s="56"/>
      <x:c r="I41" s="56"/>
      <x:c r="J41" s="56"/>
      <x:c r="K41" s="56"/>
      <x:c r="L41" s="56"/>
      <x:c r="M41" s="56"/>
      <x:c r="N41" s="50" t="str">
        <x:f>IF(O41="可比较",SUMPRODUCT(F41:M41,'试点设置'!$B$29:$I$29)*20,"")</x:f>
      </x:c>
      <x:c r="O41" s="13" t="str">
        <x:f>IF(COUNTA(E41:M41)+COUNTA(P41)=0,"待评分",IF(OR(COUNTIFS($A$7:$A$150,A41)&lt;&gt;1,COUNTIFS('运行记录'!$A$7:$A$150,A41)&lt;&gt;1),"ID重复或无效",IF(INDEX('运行记录'!$AE$7:$AE$150,MATCH(A41,'运行记录'!$A$7:$A$150,0))&lt;&gt;"纳入","运行记录未纳入",IF(OR(E41="",P41="",COUNT(F41:M41)&lt;&gt;8),"待补齐评分或证据",IF(OR(MIN(F41:M41)&lt;1,MAX(F41:M41)&gt;5,MOD(F41,1)&lt;&gt;0,MOD(G41,1)&lt;&gt;0,MOD(H41,1)&lt;&gt;0,MOD(I41,1)&lt;&gt;0,MOD(J41,1)&lt;&gt;0,MOD(K41,1)&lt;&gt;0,MOD(L41,1)&lt;&gt;0,MOD(M41,1)&lt;&gt;0),"分数须为1至5整数",IF(ABS('试点设置'!$C$31-1)&gt;0.000001,"权重非100%","可比较"))))))</x:f>
        <x:v>待评分</x:v>
      </x:c>
      <x:c r="P41" s="10"/>
      <x:c r="Q41" s="13" t="n">
        <x:f>IF(O41&lt;&gt;"可比较",0,INDEX('配对比较'!$K$7:$K$42,MATCH(B41,'配对比较'!$A$7:$A$42,0)))</x:f>
        <x:v>0</x:v>
      </x:c>
    </x:row>
    <x:row r="42" ht="25" customHeight="1">
      <x:c r="A42" s="13" t="str">
        <x:v>F03-R3-CA</x:v>
      </x:c>
      <x:c r="B42" s="13" t="str">
        <x:f>IF(COUNTIFS('运行记录'!$A$7:$A$150,A42)=1,INDEX('运行记录'!$B$7:$B$150,MATCH(A42,'运行记录'!$A$7:$A$150,0)),"")</x:f>
        <x:v>F03-R3</x:v>
      </x:c>
      <x:c r="C42" s="13" t="str">
        <x:f>IF(COUNTIFS('运行记录'!$A$7:$A$150,A42)=1,INDEX('运行记录'!$C$7:$C$150,MATCH(A42,'运行记录'!$A$7:$A$150,0)),"")</x:f>
        <x:v>F03</x:v>
      </x:c>
      <x:c r="D42" s="13" t="str">
        <x:f>IF(COUNTIFS('运行记录'!$A$7:$A$150,A42)=1,INDEX('运行记录'!$E$7:$E$150,MATCH(A42,'运行记录'!$A$7:$A$150,0)),"")</x:f>
        <x:v>CodeArts</x:v>
      </x:c>
      <x:c r="E42" s="10"/>
      <x:c r="F42" s="56"/>
      <x:c r="G42" s="56"/>
      <x:c r="H42" s="56"/>
      <x:c r="I42" s="56"/>
      <x:c r="J42" s="56"/>
      <x:c r="K42" s="56"/>
      <x:c r="L42" s="56"/>
      <x:c r="M42" s="56"/>
      <x:c r="N42" s="50" t="str">
        <x:f>IF(O42="可比较",SUMPRODUCT(F42:M42,'试点设置'!$B$29:$I$29)*20,"")</x:f>
      </x:c>
      <x:c r="O42" s="13" t="str">
        <x:f>IF(COUNTA(E42:M42)+COUNTA(P42)=0,"待评分",IF(OR(COUNTIFS($A$7:$A$150,A42)&lt;&gt;1,COUNTIFS('运行记录'!$A$7:$A$150,A42)&lt;&gt;1),"ID重复或无效",IF(INDEX('运行记录'!$AE$7:$AE$150,MATCH(A42,'运行记录'!$A$7:$A$150,0))&lt;&gt;"纳入","运行记录未纳入",IF(OR(E42="",P42="",COUNT(F42:M42)&lt;&gt;8),"待补齐评分或证据",IF(OR(MIN(F42:M42)&lt;1,MAX(F42:M42)&gt;5,MOD(F42,1)&lt;&gt;0,MOD(G42,1)&lt;&gt;0,MOD(H42,1)&lt;&gt;0,MOD(I42,1)&lt;&gt;0,MOD(J42,1)&lt;&gt;0,MOD(K42,1)&lt;&gt;0,MOD(L42,1)&lt;&gt;0,MOD(M42,1)&lt;&gt;0),"分数须为1至5整数",IF(ABS('试点设置'!$C$31-1)&gt;0.000001,"权重非100%","可比较"))))))</x:f>
        <x:v>待评分</x:v>
      </x:c>
      <x:c r="P42" s="10"/>
      <x:c r="Q42" s="13" t="n">
        <x:f>IF(O42&lt;&gt;"可比较",0,INDEX('配对比较'!$K$7:$K$42,MATCH(B42,'配对比较'!$A$7:$A$42,0)))</x:f>
        <x:v>0</x:v>
      </x:c>
    </x:row>
    <x:row r="43" ht="25" customHeight="1">
      <x:c r="A43" s="13" t="str">
        <x:v>F04-R1-CC</x:v>
      </x:c>
      <x:c r="B43" s="13" t="str">
        <x:f>IF(COUNTIFS('运行记录'!$A$7:$A$150,A43)=1,INDEX('运行记录'!$B$7:$B$150,MATCH(A43,'运行记录'!$A$7:$A$150,0)),"")</x:f>
        <x:v>F04-R1</x:v>
      </x:c>
      <x:c r="C43" s="13" t="str">
        <x:f>IF(COUNTIFS('运行记录'!$A$7:$A$150,A43)=1,INDEX('运行记录'!$C$7:$C$150,MATCH(A43,'运行记录'!$A$7:$A$150,0)),"")</x:f>
        <x:v>F04</x:v>
      </x:c>
      <x:c r="D43" s="13" t="str">
        <x:f>IF(COUNTIFS('运行记录'!$A$7:$A$150,A43)=1,INDEX('运行记录'!$E$7:$E$150,MATCH(A43,'运行记录'!$A$7:$A$150,0)),"")</x:f>
        <x:v>Claude Code</x:v>
      </x:c>
      <x:c r="E43" s="10"/>
      <x:c r="F43" s="56"/>
      <x:c r="G43" s="56"/>
      <x:c r="H43" s="56"/>
      <x:c r="I43" s="56"/>
      <x:c r="J43" s="56"/>
      <x:c r="K43" s="56"/>
      <x:c r="L43" s="56"/>
      <x:c r="M43" s="56"/>
      <x:c r="N43" s="50" t="str">
        <x:f>IF(O43="可比较",SUMPRODUCT(F43:M43,'试点设置'!$B$29:$I$29)*20,"")</x:f>
      </x:c>
      <x:c r="O43" s="13" t="str">
        <x:f>IF(COUNTA(E43:M43)+COUNTA(P43)=0,"待评分",IF(OR(COUNTIFS($A$7:$A$150,A43)&lt;&gt;1,COUNTIFS('运行记录'!$A$7:$A$150,A43)&lt;&gt;1),"ID重复或无效",IF(INDEX('运行记录'!$AE$7:$AE$150,MATCH(A43,'运行记录'!$A$7:$A$150,0))&lt;&gt;"纳入","运行记录未纳入",IF(OR(E43="",P43="",COUNT(F43:M43)&lt;&gt;8),"待补齐评分或证据",IF(OR(MIN(F43:M43)&lt;1,MAX(F43:M43)&gt;5,MOD(F43,1)&lt;&gt;0,MOD(G43,1)&lt;&gt;0,MOD(H43,1)&lt;&gt;0,MOD(I43,1)&lt;&gt;0,MOD(J43,1)&lt;&gt;0,MOD(K43,1)&lt;&gt;0,MOD(L43,1)&lt;&gt;0,MOD(M43,1)&lt;&gt;0),"分数须为1至5整数",IF(ABS('试点设置'!$C$31-1)&gt;0.000001,"权重非100%","可比较"))))))</x:f>
        <x:v>待评分</x:v>
      </x:c>
      <x:c r="P43" s="10"/>
      <x:c r="Q43" s="13" t="n">
        <x:f>IF(O43&lt;&gt;"可比较",0,INDEX('配对比较'!$K$7:$K$42,MATCH(B43,'配对比较'!$A$7:$A$42,0)))</x:f>
        <x:v>0</x:v>
      </x:c>
    </x:row>
    <x:row r="44" ht="25" customHeight="1">
      <x:c r="A44" s="13" t="str">
        <x:v>F04-R1-CX</x:v>
      </x:c>
      <x:c r="B44" s="13" t="str">
        <x:f>IF(COUNTIFS('运行记录'!$A$7:$A$150,A44)=1,INDEX('运行记录'!$B$7:$B$150,MATCH(A44,'运行记录'!$A$7:$A$150,0)),"")</x:f>
        <x:v>F04-R1</x:v>
      </x:c>
      <x:c r="C44" s="13" t="str">
        <x:f>IF(COUNTIFS('运行记录'!$A$7:$A$150,A44)=1,INDEX('运行记录'!$C$7:$C$150,MATCH(A44,'运行记录'!$A$7:$A$150,0)),"")</x:f>
        <x:v>F04</x:v>
      </x:c>
      <x:c r="D44" s="13" t="str">
        <x:f>IF(COUNTIFS('运行记录'!$A$7:$A$150,A44)=1,INDEX('运行记录'!$E$7:$E$150,MATCH(A44,'运行记录'!$A$7:$A$150,0)),"")</x:f>
        <x:v>Codex</x:v>
      </x:c>
      <x:c r="E44" s="10"/>
      <x:c r="F44" s="56"/>
      <x:c r="G44" s="56"/>
      <x:c r="H44" s="56"/>
      <x:c r="I44" s="56"/>
      <x:c r="J44" s="56"/>
      <x:c r="K44" s="56"/>
      <x:c r="L44" s="56"/>
      <x:c r="M44" s="56"/>
      <x:c r="N44" s="50" t="str">
        <x:f>IF(O44="可比较",SUMPRODUCT(F44:M44,'试点设置'!$B$29:$I$29)*20,"")</x:f>
      </x:c>
      <x:c r="O44" s="13" t="str">
        <x:f>IF(COUNTA(E44:M44)+COUNTA(P44)=0,"待评分",IF(OR(COUNTIFS($A$7:$A$150,A44)&lt;&gt;1,COUNTIFS('运行记录'!$A$7:$A$150,A44)&lt;&gt;1),"ID重复或无效",IF(INDEX('运行记录'!$AE$7:$AE$150,MATCH(A44,'运行记录'!$A$7:$A$150,0))&lt;&gt;"纳入","运行记录未纳入",IF(OR(E44="",P44="",COUNT(F44:M44)&lt;&gt;8),"待补齐评分或证据",IF(OR(MIN(F44:M44)&lt;1,MAX(F44:M44)&gt;5,MOD(F44,1)&lt;&gt;0,MOD(G44,1)&lt;&gt;0,MOD(H44,1)&lt;&gt;0,MOD(I44,1)&lt;&gt;0,MOD(J44,1)&lt;&gt;0,MOD(K44,1)&lt;&gt;0,MOD(L44,1)&lt;&gt;0,MOD(M44,1)&lt;&gt;0),"分数须为1至5整数",IF(ABS('试点设置'!$C$31-1)&gt;0.000001,"权重非100%","可比较"))))))</x:f>
        <x:v>待评分</x:v>
      </x:c>
      <x:c r="P44" s="10"/>
      <x:c r="Q44" s="13" t="n">
        <x:f>IF(O44&lt;&gt;"可比较",0,INDEX('配对比较'!$K$7:$K$42,MATCH(B44,'配对比较'!$A$7:$A$42,0)))</x:f>
        <x:v>0</x:v>
      </x:c>
    </x:row>
    <x:row r="45" ht="25" customHeight="1">
      <x:c r="A45" s="13" t="str">
        <x:v>F04-R1-TR</x:v>
      </x:c>
      <x:c r="B45" s="13" t="str">
        <x:f>IF(COUNTIFS('运行记录'!$A$7:$A$150,A45)=1,INDEX('运行记录'!$B$7:$B$150,MATCH(A45,'运行记录'!$A$7:$A$150,0)),"")</x:f>
        <x:v>F04-R1</x:v>
      </x:c>
      <x:c r="C45" s="13" t="str">
        <x:f>IF(COUNTIFS('运行记录'!$A$7:$A$150,A45)=1,INDEX('运行记录'!$C$7:$C$150,MATCH(A45,'运行记录'!$A$7:$A$150,0)),"")</x:f>
        <x:v>F04</x:v>
      </x:c>
      <x:c r="D45" s="13" t="str">
        <x:f>IF(COUNTIFS('运行记录'!$A$7:$A$150,A45)=1,INDEX('运行记录'!$E$7:$E$150,MATCH(A45,'运行记录'!$A$7:$A$150,0)),"")</x:f>
        <x:v>Trae</x:v>
      </x:c>
      <x:c r="E45" s="10"/>
      <x:c r="F45" s="56"/>
      <x:c r="G45" s="56"/>
      <x:c r="H45" s="56"/>
      <x:c r="I45" s="56"/>
      <x:c r="J45" s="56"/>
      <x:c r="K45" s="56"/>
      <x:c r="L45" s="56"/>
      <x:c r="M45" s="56"/>
      <x:c r="N45" s="50" t="str">
        <x:f>IF(O45="可比较",SUMPRODUCT(F45:M45,'试点设置'!$B$29:$I$29)*20,"")</x:f>
      </x:c>
      <x:c r="O45" s="13" t="str">
        <x:f>IF(COUNTA(E45:M45)+COUNTA(P45)=0,"待评分",IF(OR(COUNTIFS($A$7:$A$150,A45)&lt;&gt;1,COUNTIFS('运行记录'!$A$7:$A$150,A45)&lt;&gt;1),"ID重复或无效",IF(INDEX('运行记录'!$AE$7:$AE$150,MATCH(A45,'运行记录'!$A$7:$A$150,0))&lt;&gt;"纳入","运行记录未纳入",IF(OR(E45="",P45="",COUNT(F45:M45)&lt;&gt;8),"待补齐评分或证据",IF(OR(MIN(F45:M45)&lt;1,MAX(F45:M45)&gt;5,MOD(F45,1)&lt;&gt;0,MOD(G45,1)&lt;&gt;0,MOD(H45,1)&lt;&gt;0,MOD(I45,1)&lt;&gt;0,MOD(J45,1)&lt;&gt;0,MOD(K45,1)&lt;&gt;0,MOD(L45,1)&lt;&gt;0,MOD(M45,1)&lt;&gt;0),"分数须为1至5整数",IF(ABS('试点设置'!$C$31-1)&gt;0.000001,"权重非100%","可比较"))))))</x:f>
        <x:v>待评分</x:v>
      </x:c>
      <x:c r="P45" s="10"/>
      <x:c r="Q45" s="13" t="n">
        <x:f>IF(O45&lt;&gt;"可比较",0,INDEX('配对比较'!$K$7:$K$42,MATCH(B45,'配对比较'!$A$7:$A$42,0)))</x:f>
        <x:v>0</x:v>
      </x:c>
    </x:row>
    <x:row r="46" ht="25" customHeight="1">
      <x:c r="A46" s="13" t="str">
        <x:v>F04-R1-CA</x:v>
      </x:c>
      <x:c r="B46" s="13" t="str">
        <x:f>IF(COUNTIFS('运行记录'!$A$7:$A$150,A46)=1,INDEX('运行记录'!$B$7:$B$150,MATCH(A46,'运行记录'!$A$7:$A$150,0)),"")</x:f>
        <x:v>F04-R1</x:v>
      </x:c>
      <x:c r="C46" s="13" t="str">
        <x:f>IF(COUNTIFS('运行记录'!$A$7:$A$150,A46)=1,INDEX('运行记录'!$C$7:$C$150,MATCH(A46,'运行记录'!$A$7:$A$150,0)),"")</x:f>
        <x:v>F04</x:v>
      </x:c>
      <x:c r="D46" s="13" t="str">
        <x:f>IF(COUNTIFS('运行记录'!$A$7:$A$150,A46)=1,INDEX('运行记录'!$E$7:$E$150,MATCH(A46,'运行记录'!$A$7:$A$150,0)),"")</x:f>
        <x:v>CodeArts</x:v>
      </x:c>
      <x:c r="E46" s="10"/>
      <x:c r="F46" s="56"/>
      <x:c r="G46" s="56"/>
      <x:c r="H46" s="56"/>
      <x:c r="I46" s="56"/>
      <x:c r="J46" s="56"/>
      <x:c r="K46" s="56"/>
      <x:c r="L46" s="56"/>
      <x:c r="M46" s="56"/>
      <x:c r="N46" s="50" t="str">
        <x:f>IF(O46="可比较",SUMPRODUCT(F46:M46,'试点设置'!$B$29:$I$29)*20,"")</x:f>
      </x:c>
      <x:c r="O46" s="13" t="str">
        <x:f>IF(COUNTA(E46:M46)+COUNTA(P46)=0,"待评分",IF(OR(COUNTIFS($A$7:$A$150,A46)&lt;&gt;1,COUNTIFS('运行记录'!$A$7:$A$150,A46)&lt;&gt;1),"ID重复或无效",IF(INDEX('运行记录'!$AE$7:$AE$150,MATCH(A46,'运行记录'!$A$7:$A$150,0))&lt;&gt;"纳入","运行记录未纳入",IF(OR(E46="",P46="",COUNT(F46:M46)&lt;&gt;8),"待补齐评分或证据",IF(OR(MIN(F46:M46)&lt;1,MAX(F46:M46)&gt;5,MOD(F46,1)&lt;&gt;0,MOD(G46,1)&lt;&gt;0,MOD(H46,1)&lt;&gt;0,MOD(I46,1)&lt;&gt;0,MOD(J46,1)&lt;&gt;0,MOD(K46,1)&lt;&gt;0,MOD(L46,1)&lt;&gt;0,MOD(M46,1)&lt;&gt;0),"分数须为1至5整数",IF(ABS('试点设置'!$C$31-1)&gt;0.000001,"权重非100%","可比较"))))))</x:f>
        <x:v>待评分</x:v>
      </x:c>
      <x:c r="P46" s="10"/>
      <x:c r="Q46" s="13" t="n">
        <x:f>IF(O46&lt;&gt;"可比较",0,INDEX('配对比较'!$K$7:$K$42,MATCH(B46,'配对比较'!$A$7:$A$42,0)))</x:f>
        <x:v>0</x:v>
      </x:c>
    </x:row>
    <x:row r="47" ht="25" customHeight="1">
      <x:c r="A47" s="13" t="str">
        <x:v>F04-R2-CC</x:v>
      </x:c>
      <x:c r="B47" s="13" t="str">
        <x:f>IF(COUNTIFS('运行记录'!$A$7:$A$150,A47)=1,INDEX('运行记录'!$B$7:$B$150,MATCH(A47,'运行记录'!$A$7:$A$150,0)),"")</x:f>
        <x:v>F04-R2</x:v>
      </x:c>
      <x:c r="C47" s="13" t="str">
        <x:f>IF(COUNTIFS('运行记录'!$A$7:$A$150,A47)=1,INDEX('运行记录'!$C$7:$C$150,MATCH(A47,'运行记录'!$A$7:$A$150,0)),"")</x:f>
        <x:v>F04</x:v>
      </x:c>
      <x:c r="D47" s="13" t="str">
        <x:f>IF(COUNTIFS('运行记录'!$A$7:$A$150,A47)=1,INDEX('运行记录'!$E$7:$E$150,MATCH(A47,'运行记录'!$A$7:$A$150,0)),"")</x:f>
        <x:v>Claude Code</x:v>
      </x:c>
      <x:c r="E47" s="10"/>
      <x:c r="F47" s="56"/>
      <x:c r="G47" s="56"/>
      <x:c r="H47" s="56"/>
      <x:c r="I47" s="56"/>
      <x:c r="J47" s="56"/>
      <x:c r="K47" s="56"/>
      <x:c r="L47" s="56"/>
      <x:c r="M47" s="56"/>
      <x:c r="N47" s="50" t="str">
        <x:f>IF(O47="可比较",SUMPRODUCT(F47:M47,'试点设置'!$B$29:$I$29)*20,"")</x:f>
      </x:c>
      <x:c r="O47" s="13" t="str">
        <x:f>IF(COUNTA(E47:M47)+COUNTA(P47)=0,"待评分",IF(OR(COUNTIFS($A$7:$A$150,A47)&lt;&gt;1,COUNTIFS('运行记录'!$A$7:$A$150,A47)&lt;&gt;1),"ID重复或无效",IF(INDEX('运行记录'!$AE$7:$AE$150,MATCH(A47,'运行记录'!$A$7:$A$150,0))&lt;&gt;"纳入","运行记录未纳入",IF(OR(E47="",P47="",COUNT(F47:M47)&lt;&gt;8),"待补齐评分或证据",IF(OR(MIN(F47:M47)&lt;1,MAX(F47:M47)&gt;5,MOD(F47,1)&lt;&gt;0,MOD(G47,1)&lt;&gt;0,MOD(H47,1)&lt;&gt;0,MOD(I47,1)&lt;&gt;0,MOD(J47,1)&lt;&gt;0,MOD(K47,1)&lt;&gt;0,MOD(L47,1)&lt;&gt;0,MOD(M47,1)&lt;&gt;0),"分数须为1至5整数",IF(ABS('试点设置'!$C$31-1)&gt;0.000001,"权重非100%","可比较"))))))</x:f>
        <x:v>待评分</x:v>
      </x:c>
      <x:c r="P47" s="10"/>
      <x:c r="Q47" s="13" t="n">
        <x:f>IF(O47&lt;&gt;"可比较",0,INDEX('配对比较'!$K$7:$K$42,MATCH(B47,'配对比较'!$A$7:$A$42,0)))</x:f>
        <x:v>0</x:v>
      </x:c>
    </x:row>
    <x:row r="48" ht="25" customHeight="1">
      <x:c r="A48" s="13" t="str">
        <x:v>F04-R2-CX</x:v>
      </x:c>
      <x:c r="B48" s="13" t="str">
        <x:f>IF(COUNTIFS('运行记录'!$A$7:$A$150,A48)=1,INDEX('运行记录'!$B$7:$B$150,MATCH(A48,'运行记录'!$A$7:$A$150,0)),"")</x:f>
        <x:v>F04-R2</x:v>
      </x:c>
      <x:c r="C48" s="13" t="str">
        <x:f>IF(COUNTIFS('运行记录'!$A$7:$A$150,A48)=1,INDEX('运行记录'!$C$7:$C$150,MATCH(A48,'运行记录'!$A$7:$A$150,0)),"")</x:f>
        <x:v>F04</x:v>
      </x:c>
      <x:c r="D48" s="13" t="str">
        <x:f>IF(COUNTIFS('运行记录'!$A$7:$A$150,A48)=1,INDEX('运行记录'!$E$7:$E$150,MATCH(A48,'运行记录'!$A$7:$A$150,0)),"")</x:f>
        <x:v>Codex</x:v>
      </x:c>
      <x:c r="E48" s="10"/>
      <x:c r="F48" s="56"/>
      <x:c r="G48" s="56"/>
      <x:c r="H48" s="56"/>
      <x:c r="I48" s="56"/>
      <x:c r="J48" s="56"/>
      <x:c r="K48" s="56"/>
      <x:c r="L48" s="56"/>
      <x:c r="M48" s="56"/>
      <x:c r="N48" s="50" t="str">
        <x:f>IF(O48="可比较",SUMPRODUCT(F48:M48,'试点设置'!$B$29:$I$29)*20,"")</x:f>
      </x:c>
      <x:c r="O48" s="13" t="str">
        <x:f>IF(COUNTA(E48:M48)+COUNTA(P48)=0,"待评分",IF(OR(COUNTIFS($A$7:$A$150,A48)&lt;&gt;1,COUNTIFS('运行记录'!$A$7:$A$150,A48)&lt;&gt;1),"ID重复或无效",IF(INDEX('运行记录'!$AE$7:$AE$150,MATCH(A48,'运行记录'!$A$7:$A$150,0))&lt;&gt;"纳入","运行记录未纳入",IF(OR(E48="",P48="",COUNT(F48:M48)&lt;&gt;8),"待补齐评分或证据",IF(OR(MIN(F48:M48)&lt;1,MAX(F48:M48)&gt;5,MOD(F48,1)&lt;&gt;0,MOD(G48,1)&lt;&gt;0,MOD(H48,1)&lt;&gt;0,MOD(I48,1)&lt;&gt;0,MOD(J48,1)&lt;&gt;0,MOD(K48,1)&lt;&gt;0,MOD(L48,1)&lt;&gt;0,MOD(M48,1)&lt;&gt;0),"分数须为1至5整数",IF(ABS('试点设置'!$C$31-1)&gt;0.000001,"权重非100%","可比较"))))))</x:f>
        <x:v>待评分</x:v>
      </x:c>
      <x:c r="P48" s="10"/>
      <x:c r="Q48" s="13" t="n">
        <x:f>IF(O48&lt;&gt;"可比较",0,INDEX('配对比较'!$K$7:$K$42,MATCH(B48,'配对比较'!$A$7:$A$42,0)))</x:f>
        <x:v>0</x:v>
      </x:c>
    </x:row>
    <x:row r="49" ht="25" customHeight="1">
      <x:c r="A49" s="13" t="str">
        <x:v>F04-R2-TR</x:v>
      </x:c>
      <x:c r="B49" s="13" t="str">
        <x:f>IF(COUNTIFS('运行记录'!$A$7:$A$150,A49)=1,INDEX('运行记录'!$B$7:$B$150,MATCH(A49,'运行记录'!$A$7:$A$150,0)),"")</x:f>
        <x:v>F04-R2</x:v>
      </x:c>
      <x:c r="C49" s="13" t="str">
        <x:f>IF(COUNTIFS('运行记录'!$A$7:$A$150,A49)=1,INDEX('运行记录'!$C$7:$C$150,MATCH(A49,'运行记录'!$A$7:$A$150,0)),"")</x:f>
        <x:v>F04</x:v>
      </x:c>
      <x:c r="D49" s="13" t="str">
        <x:f>IF(COUNTIFS('运行记录'!$A$7:$A$150,A49)=1,INDEX('运行记录'!$E$7:$E$150,MATCH(A49,'运行记录'!$A$7:$A$150,0)),"")</x:f>
        <x:v>Trae</x:v>
      </x:c>
      <x:c r="E49" s="10"/>
      <x:c r="F49" s="56"/>
      <x:c r="G49" s="56"/>
      <x:c r="H49" s="56"/>
      <x:c r="I49" s="56"/>
      <x:c r="J49" s="56"/>
      <x:c r="K49" s="56"/>
      <x:c r="L49" s="56"/>
      <x:c r="M49" s="56"/>
      <x:c r="N49" s="50" t="str">
        <x:f>IF(O49="可比较",SUMPRODUCT(F49:M49,'试点设置'!$B$29:$I$29)*20,"")</x:f>
      </x:c>
      <x:c r="O49" s="13" t="str">
        <x:f>IF(COUNTA(E49:M49)+COUNTA(P49)=0,"待评分",IF(OR(COUNTIFS($A$7:$A$150,A49)&lt;&gt;1,COUNTIFS('运行记录'!$A$7:$A$150,A49)&lt;&gt;1),"ID重复或无效",IF(INDEX('运行记录'!$AE$7:$AE$150,MATCH(A49,'运行记录'!$A$7:$A$150,0))&lt;&gt;"纳入","运行记录未纳入",IF(OR(E49="",P49="",COUNT(F49:M49)&lt;&gt;8),"待补齐评分或证据",IF(OR(MIN(F49:M49)&lt;1,MAX(F49:M49)&gt;5,MOD(F49,1)&lt;&gt;0,MOD(G49,1)&lt;&gt;0,MOD(H49,1)&lt;&gt;0,MOD(I49,1)&lt;&gt;0,MOD(J49,1)&lt;&gt;0,MOD(K49,1)&lt;&gt;0,MOD(L49,1)&lt;&gt;0,MOD(M49,1)&lt;&gt;0),"分数须为1至5整数",IF(ABS('试点设置'!$C$31-1)&gt;0.000001,"权重非100%","可比较"))))))</x:f>
        <x:v>待评分</x:v>
      </x:c>
      <x:c r="P49" s="10"/>
      <x:c r="Q49" s="13" t="n">
        <x:f>IF(O49&lt;&gt;"可比较",0,INDEX('配对比较'!$K$7:$K$42,MATCH(B49,'配对比较'!$A$7:$A$42,0)))</x:f>
        <x:v>0</x:v>
      </x:c>
    </x:row>
    <x:row r="50" ht="25" customHeight="1">
      <x:c r="A50" s="13" t="str">
        <x:v>F04-R2-CA</x:v>
      </x:c>
      <x:c r="B50" s="13" t="str">
        <x:f>IF(COUNTIFS('运行记录'!$A$7:$A$150,A50)=1,INDEX('运行记录'!$B$7:$B$150,MATCH(A50,'运行记录'!$A$7:$A$150,0)),"")</x:f>
        <x:v>F04-R2</x:v>
      </x:c>
      <x:c r="C50" s="13" t="str">
        <x:f>IF(COUNTIFS('运行记录'!$A$7:$A$150,A50)=1,INDEX('运行记录'!$C$7:$C$150,MATCH(A50,'运行记录'!$A$7:$A$150,0)),"")</x:f>
        <x:v>F04</x:v>
      </x:c>
      <x:c r="D50" s="13" t="str">
        <x:f>IF(COUNTIFS('运行记录'!$A$7:$A$150,A50)=1,INDEX('运行记录'!$E$7:$E$150,MATCH(A50,'运行记录'!$A$7:$A$150,0)),"")</x:f>
        <x:v>CodeArts</x:v>
      </x:c>
      <x:c r="E50" s="10"/>
      <x:c r="F50" s="56"/>
      <x:c r="G50" s="56"/>
      <x:c r="H50" s="56"/>
      <x:c r="I50" s="56"/>
      <x:c r="J50" s="56"/>
      <x:c r="K50" s="56"/>
      <x:c r="L50" s="56"/>
      <x:c r="M50" s="56"/>
      <x:c r="N50" s="50" t="str">
        <x:f>IF(O50="可比较",SUMPRODUCT(F50:M50,'试点设置'!$B$29:$I$29)*20,"")</x:f>
      </x:c>
      <x:c r="O50" s="13" t="str">
        <x:f>IF(COUNTA(E50:M50)+COUNTA(P50)=0,"待评分",IF(OR(COUNTIFS($A$7:$A$150,A50)&lt;&gt;1,COUNTIFS('运行记录'!$A$7:$A$150,A50)&lt;&gt;1),"ID重复或无效",IF(INDEX('运行记录'!$AE$7:$AE$150,MATCH(A50,'运行记录'!$A$7:$A$150,0))&lt;&gt;"纳入","运行记录未纳入",IF(OR(E50="",P50="",COUNT(F50:M50)&lt;&gt;8),"待补齐评分或证据",IF(OR(MIN(F50:M50)&lt;1,MAX(F50:M50)&gt;5,MOD(F50,1)&lt;&gt;0,MOD(G50,1)&lt;&gt;0,MOD(H50,1)&lt;&gt;0,MOD(I50,1)&lt;&gt;0,MOD(J50,1)&lt;&gt;0,MOD(K50,1)&lt;&gt;0,MOD(L50,1)&lt;&gt;0,MOD(M50,1)&lt;&gt;0),"分数须为1至5整数",IF(ABS('试点设置'!$C$31-1)&gt;0.000001,"权重非100%","可比较"))))))</x:f>
        <x:v>待评分</x:v>
      </x:c>
      <x:c r="P50" s="10"/>
      <x:c r="Q50" s="13" t="n">
        <x:f>IF(O50&lt;&gt;"可比较",0,INDEX('配对比较'!$K$7:$K$42,MATCH(B50,'配对比较'!$A$7:$A$42,0)))</x:f>
        <x:v>0</x:v>
      </x:c>
    </x:row>
    <x:row r="51" ht="25" customHeight="1">
      <x:c r="A51" s="13" t="str">
        <x:v>F04-R3-CC</x:v>
      </x:c>
      <x:c r="B51" s="13" t="str">
        <x:f>IF(COUNTIFS('运行记录'!$A$7:$A$150,A51)=1,INDEX('运行记录'!$B$7:$B$150,MATCH(A51,'运行记录'!$A$7:$A$150,0)),"")</x:f>
        <x:v>F04-R3</x:v>
      </x:c>
      <x:c r="C51" s="13" t="str">
        <x:f>IF(COUNTIFS('运行记录'!$A$7:$A$150,A51)=1,INDEX('运行记录'!$C$7:$C$150,MATCH(A51,'运行记录'!$A$7:$A$150,0)),"")</x:f>
        <x:v>F04</x:v>
      </x:c>
      <x:c r="D51" s="13" t="str">
        <x:f>IF(COUNTIFS('运行记录'!$A$7:$A$150,A51)=1,INDEX('运行记录'!$E$7:$E$150,MATCH(A51,'运行记录'!$A$7:$A$150,0)),"")</x:f>
        <x:v>Claude Code</x:v>
      </x:c>
      <x:c r="E51" s="10"/>
      <x:c r="F51" s="56"/>
      <x:c r="G51" s="56"/>
      <x:c r="H51" s="56"/>
      <x:c r="I51" s="56"/>
      <x:c r="J51" s="56"/>
      <x:c r="K51" s="56"/>
      <x:c r="L51" s="56"/>
      <x:c r="M51" s="56"/>
      <x:c r="N51" s="50" t="str">
        <x:f>IF(O51="可比较",SUMPRODUCT(F51:M51,'试点设置'!$B$29:$I$29)*20,"")</x:f>
      </x:c>
      <x:c r="O51" s="13" t="str">
        <x:f>IF(COUNTA(E51:M51)+COUNTA(P51)=0,"待评分",IF(OR(COUNTIFS($A$7:$A$150,A51)&lt;&gt;1,COUNTIFS('运行记录'!$A$7:$A$150,A51)&lt;&gt;1),"ID重复或无效",IF(INDEX('运行记录'!$AE$7:$AE$150,MATCH(A51,'运行记录'!$A$7:$A$150,0))&lt;&gt;"纳入","运行记录未纳入",IF(OR(E51="",P51="",COUNT(F51:M51)&lt;&gt;8),"待补齐评分或证据",IF(OR(MIN(F51:M51)&lt;1,MAX(F51:M51)&gt;5,MOD(F51,1)&lt;&gt;0,MOD(G51,1)&lt;&gt;0,MOD(H51,1)&lt;&gt;0,MOD(I51,1)&lt;&gt;0,MOD(J51,1)&lt;&gt;0,MOD(K51,1)&lt;&gt;0,MOD(L51,1)&lt;&gt;0,MOD(M51,1)&lt;&gt;0),"分数须为1至5整数",IF(ABS('试点设置'!$C$31-1)&gt;0.000001,"权重非100%","可比较"))))))</x:f>
        <x:v>待评分</x:v>
      </x:c>
      <x:c r="P51" s="10"/>
      <x:c r="Q51" s="13" t="n">
        <x:f>IF(O51&lt;&gt;"可比较",0,INDEX('配对比较'!$K$7:$K$42,MATCH(B51,'配对比较'!$A$7:$A$42,0)))</x:f>
        <x:v>0</x:v>
      </x:c>
    </x:row>
    <x:row r="52" ht="25" customHeight="1">
      <x:c r="A52" s="13" t="str">
        <x:v>F04-R3-CX</x:v>
      </x:c>
      <x:c r="B52" s="13" t="str">
        <x:f>IF(COUNTIFS('运行记录'!$A$7:$A$150,A52)=1,INDEX('运行记录'!$B$7:$B$150,MATCH(A52,'运行记录'!$A$7:$A$150,0)),"")</x:f>
        <x:v>F04-R3</x:v>
      </x:c>
      <x:c r="C52" s="13" t="str">
        <x:f>IF(COUNTIFS('运行记录'!$A$7:$A$150,A52)=1,INDEX('运行记录'!$C$7:$C$150,MATCH(A52,'运行记录'!$A$7:$A$150,0)),"")</x:f>
        <x:v>F04</x:v>
      </x:c>
      <x:c r="D52" s="13" t="str">
        <x:f>IF(COUNTIFS('运行记录'!$A$7:$A$150,A52)=1,INDEX('运行记录'!$E$7:$E$150,MATCH(A52,'运行记录'!$A$7:$A$150,0)),"")</x:f>
        <x:v>Codex</x:v>
      </x:c>
      <x:c r="E52" s="10"/>
      <x:c r="F52" s="56"/>
      <x:c r="G52" s="56"/>
      <x:c r="H52" s="56"/>
      <x:c r="I52" s="56"/>
      <x:c r="J52" s="56"/>
      <x:c r="K52" s="56"/>
      <x:c r="L52" s="56"/>
      <x:c r="M52" s="56"/>
      <x:c r="N52" s="50" t="str">
        <x:f>IF(O52="可比较",SUMPRODUCT(F52:M52,'试点设置'!$B$29:$I$29)*20,"")</x:f>
      </x:c>
      <x:c r="O52" s="13" t="str">
        <x:f>IF(COUNTA(E52:M52)+COUNTA(P52)=0,"待评分",IF(OR(COUNTIFS($A$7:$A$150,A52)&lt;&gt;1,COUNTIFS('运行记录'!$A$7:$A$150,A52)&lt;&gt;1),"ID重复或无效",IF(INDEX('运行记录'!$AE$7:$AE$150,MATCH(A52,'运行记录'!$A$7:$A$150,0))&lt;&gt;"纳入","运行记录未纳入",IF(OR(E52="",P52="",COUNT(F52:M52)&lt;&gt;8),"待补齐评分或证据",IF(OR(MIN(F52:M52)&lt;1,MAX(F52:M52)&gt;5,MOD(F52,1)&lt;&gt;0,MOD(G52,1)&lt;&gt;0,MOD(H52,1)&lt;&gt;0,MOD(I52,1)&lt;&gt;0,MOD(J52,1)&lt;&gt;0,MOD(K52,1)&lt;&gt;0,MOD(L52,1)&lt;&gt;0,MOD(M52,1)&lt;&gt;0),"分数须为1至5整数",IF(ABS('试点设置'!$C$31-1)&gt;0.000001,"权重非100%","可比较"))))))</x:f>
        <x:v>待评分</x:v>
      </x:c>
      <x:c r="P52" s="10"/>
      <x:c r="Q52" s="13" t="n">
        <x:f>IF(O52&lt;&gt;"可比较",0,INDEX('配对比较'!$K$7:$K$42,MATCH(B52,'配对比较'!$A$7:$A$42,0)))</x:f>
        <x:v>0</x:v>
      </x:c>
    </x:row>
    <x:row r="53" ht="25" customHeight="1">
      <x:c r="A53" s="13" t="str">
        <x:v>F04-R3-TR</x:v>
      </x:c>
      <x:c r="B53" s="13" t="str">
        <x:f>IF(COUNTIFS('运行记录'!$A$7:$A$150,A53)=1,INDEX('运行记录'!$B$7:$B$150,MATCH(A53,'运行记录'!$A$7:$A$150,0)),"")</x:f>
        <x:v>F04-R3</x:v>
      </x:c>
      <x:c r="C53" s="13" t="str">
        <x:f>IF(COUNTIFS('运行记录'!$A$7:$A$150,A53)=1,INDEX('运行记录'!$C$7:$C$150,MATCH(A53,'运行记录'!$A$7:$A$150,0)),"")</x:f>
        <x:v>F04</x:v>
      </x:c>
      <x:c r="D53" s="13" t="str">
        <x:f>IF(COUNTIFS('运行记录'!$A$7:$A$150,A53)=1,INDEX('运行记录'!$E$7:$E$150,MATCH(A53,'运行记录'!$A$7:$A$150,0)),"")</x:f>
        <x:v>Trae</x:v>
      </x:c>
      <x:c r="E53" s="10"/>
      <x:c r="F53" s="56"/>
      <x:c r="G53" s="56"/>
      <x:c r="H53" s="56"/>
      <x:c r="I53" s="56"/>
      <x:c r="J53" s="56"/>
      <x:c r="K53" s="56"/>
      <x:c r="L53" s="56"/>
      <x:c r="M53" s="56"/>
      <x:c r="N53" s="50" t="str">
        <x:f>IF(O53="可比较",SUMPRODUCT(F53:M53,'试点设置'!$B$29:$I$29)*20,"")</x:f>
      </x:c>
      <x:c r="O53" s="13" t="str">
        <x:f>IF(COUNTA(E53:M53)+COUNTA(P53)=0,"待评分",IF(OR(COUNTIFS($A$7:$A$150,A53)&lt;&gt;1,COUNTIFS('运行记录'!$A$7:$A$150,A53)&lt;&gt;1),"ID重复或无效",IF(INDEX('运行记录'!$AE$7:$AE$150,MATCH(A53,'运行记录'!$A$7:$A$150,0))&lt;&gt;"纳入","运行记录未纳入",IF(OR(E53="",P53="",COUNT(F53:M53)&lt;&gt;8),"待补齐评分或证据",IF(OR(MIN(F53:M53)&lt;1,MAX(F53:M53)&gt;5,MOD(F53,1)&lt;&gt;0,MOD(G53,1)&lt;&gt;0,MOD(H53,1)&lt;&gt;0,MOD(I53,1)&lt;&gt;0,MOD(J53,1)&lt;&gt;0,MOD(K53,1)&lt;&gt;0,MOD(L53,1)&lt;&gt;0,MOD(M53,1)&lt;&gt;0),"分数须为1至5整数",IF(ABS('试点设置'!$C$31-1)&gt;0.000001,"权重非100%","可比较"))))))</x:f>
        <x:v>待评分</x:v>
      </x:c>
      <x:c r="P53" s="10"/>
      <x:c r="Q53" s="13" t="n">
        <x:f>IF(O53&lt;&gt;"可比较",0,INDEX('配对比较'!$K$7:$K$42,MATCH(B53,'配对比较'!$A$7:$A$42,0)))</x:f>
        <x:v>0</x:v>
      </x:c>
    </x:row>
    <x:row r="54" ht="25" customHeight="1">
      <x:c r="A54" s="13" t="str">
        <x:v>F04-R3-CA</x:v>
      </x:c>
      <x:c r="B54" s="13" t="str">
        <x:f>IF(COUNTIFS('运行记录'!$A$7:$A$150,A54)=1,INDEX('运行记录'!$B$7:$B$150,MATCH(A54,'运行记录'!$A$7:$A$150,0)),"")</x:f>
        <x:v>F04-R3</x:v>
      </x:c>
      <x:c r="C54" s="13" t="str">
        <x:f>IF(COUNTIFS('运行记录'!$A$7:$A$150,A54)=1,INDEX('运行记录'!$C$7:$C$150,MATCH(A54,'运行记录'!$A$7:$A$150,0)),"")</x:f>
        <x:v>F04</x:v>
      </x:c>
      <x:c r="D54" s="13" t="str">
        <x:f>IF(COUNTIFS('运行记录'!$A$7:$A$150,A54)=1,INDEX('运行记录'!$E$7:$E$150,MATCH(A54,'运行记录'!$A$7:$A$150,0)),"")</x:f>
        <x:v>CodeArts</x:v>
      </x:c>
      <x:c r="E54" s="10"/>
      <x:c r="F54" s="56"/>
      <x:c r="G54" s="56"/>
      <x:c r="H54" s="56"/>
      <x:c r="I54" s="56"/>
      <x:c r="J54" s="56"/>
      <x:c r="K54" s="56"/>
      <x:c r="L54" s="56"/>
      <x:c r="M54" s="56"/>
      <x:c r="N54" s="50" t="str">
        <x:f>IF(O54="可比较",SUMPRODUCT(F54:M54,'试点设置'!$B$29:$I$29)*20,"")</x:f>
      </x:c>
      <x:c r="O54" s="13" t="str">
        <x:f>IF(COUNTA(E54:M54)+COUNTA(P54)=0,"待评分",IF(OR(COUNTIFS($A$7:$A$150,A54)&lt;&gt;1,COUNTIFS('运行记录'!$A$7:$A$150,A54)&lt;&gt;1),"ID重复或无效",IF(INDEX('运行记录'!$AE$7:$AE$150,MATCH(A54,'运行记录'!$A$7:$A$150,0))&lt;&gt;"纳入","运行记录未纳入",IF(OR(E54="",P54="",COUNT(F54:M54)&lt;&gt;8),"待补齐评分或证据",IF(OR(MIN(F54:M54)&lt;1,MAX(F54:M54)&gt;5,MOD(F54,1)&lt;&gt;0,MOD(G54,1)&lt;&gt;0,MOD(H54,1)&lt;&gt;0,MOD(I54,1)&lt;&gt;0,MOD(J54,1)&lt;&gt;0,MOD(K54,1)&lt;&gt;0,MOD(L54,1)&lt;&gt;0,MOD(M54,1)&lt;&gt;0),"分数须为1至5整数",IF(ABS('试点设置'!$C$31-1)&gt;0.000001,"权重非100%","可比较"))))))</x:f>
        <x:v>待评分</x:v>
      </x:c>
      <x:c r="P54" s="10"/>
      <x:c r="Q54" s="13" t="n">
        <x:f>IF(O54&lt;&gt;"可比较",0,INDEX('配对比较'!$K$7:$K$42,MATCH(B54,'配对比较'!$A$7:$A$42,0)))</x:f>
        <x:v>0</x:v>
      </x:c>
    </x:row>
    <x:row r="55" ht="25" customHeight="1">
      <x:c r="A55" s="13" t="str">
        <x:v>F05-R1-CC</x:v>
      </x:c>
      <x:c r="B55" s="13" t="str">
        <x:f>IF(COUNTIFS('运行记录'!$A$7:$A$150,A55)=1,INDEX('运行记录'!$B$7:$B$150,MATCH(A55,'运行记录'!$A$7:$A$150,0)),"")</x:f>
        <x:v>F05-R1</x:v>
      </x:c>
      <x:c r="C55" s="13" t="str">
        <x:f>IF(COUNTIFS('运行记录'!$A$7:$A$150,A55)=1,INDEX('运行记录'!$C$7:$C$150,MATCH(A55,'运行记录'!$A$7:$A$150,0)),"")</x:f>
        <x:v>F05</x:v>
      </x:c>
      <x:c r="D55" s="13" t="str">
        <x:f>IF(COUNTIFS('运行记录'!$A$7:$A$150,A55)=1,INDEX('运行记录'!$E$7:$E$150,MATCH(A55,'运行记录'!$A$7:$A$150,0)),"")</x:f>
        <x:v>Claude Code</x:v>
      </x:c>
      <x:c r="E55" s="10"/>
      <x:c r="F55" s="56"/>
      <x:c r="G55" s="56"/>
      <x:c r="H55" s="56"/>
      <x:c r="I55" s="56"/>
      <x:c r="J55" s="56"/>
      <x:c r="K55" s="56"/>
      <x:c r="L55" s="56"/>
      <x:c r="M55" s="56"/>
      <x:c r="N55" s="50" t="str">
        <x:f>IF(O55="可比较",SUMPRODUCT(F55:M55,'试点设置'!$B$29:$I$29)*20,"")</x:f>
      </x:c>
      <x:c r="O55" s="13" t="str">
        <x:f>IF(COUNTA(E55:M55)+COUNTA(P55)=0,"待评分",IF(OR(COUNTIFS($A$7:$A$150,A55)&lt;&gt;1,COUNTIFS('运行记录'!$A$7:$A$150,A55)&lt;&gt;1),"ID重复或无效",IF(INDEX('运行记录'!$AE$7:$AE$150,MATCH(A55,'运行记录'!$A$7:$A$150,0))&lt;&gt;"纳入","运行记录未纳入",IF(OR(E55="",P55="",COUNT(F55:M55)&lt;&gt;8),"待补齐评分或证据",IF(OR(MIN(F55:M55)&lt;1,MAX(F55:M55)&gt;5,MOD(F55,1)&lt;&gt;0,MOD(G55,1)&lt;&gt;0,MOD(H55,1)&lt;&gt;0,MOD(I55,1)&lt;&gt;0,MOD(J55,1)&lt;&gt;0,MOD(K55,1)&lt;&gt;0,MOD(L55,1)&lt;&gt;0,MOD(M55,1)&lt;&gt;0),"分数须为1至5整数",IF(ABS('试点设置'!$C$31-1)&gt;0.000001,"权重非100%","可比较"))))))</x:f>
        <x:v>待评分</x:v>
      </x:c>
      <x:c r="P55" s="10"/>
      <x:c r="Q55" s="13" t="n">
        <x:f>IF(O55&lt;&gt;"可比较",0,INDEX('配对比较'!$K$7:$K$42,MATCH(B55,'配对比较'!$A$7:$A$42,0)))</x:f>
        <x:v>0</x:v>
      </x:c>
    </x:row>
    <x:row r="56" ht="25" customHeight="1">
      <x:c r="A56" s="13" t="str">
        <x:v>F05-R1-CX</x:v>
      </x:c>
      <x:c r="B56" s="13" t="str">
        <x:f>IF(COUNTIFS('运行记录'!$A$7:$A$150,A56)=1,INDEX('运行记录'!$B$7:$B$150,MATCH(A56,'运行记录'!$A$7:$A$150,0)),"")</x:f>
        <x:v>F05-R1</x:v>
      </x:c>
      <x:c r="C56" s="13" t="str">
        <x:f>IF(COUNTIFS('运行记录'!$A$7:$A$150,A56)=1,INDEX('运行记录'!$C$7:$C$150,MATCH(A56,'运行记录'!$A$7:$A$150,0)),"")</x:f>
        <x:v>F05</x:v>
      </x:c>
      <x:c r="D56" s="13" t="str">
        <x:f>IF(COUNTIFS('运行记录'!$A$7:$A$150,A56)=1,INDEX('运行记录'!$E$7:$E$150,MATCH(A56,'运行记录'!$A$7:$A$150,0)),"")</x:f>
        <x:v>Codex</x:v>
      </x:c>
      <x:c r="E56" s="10"/>
      <x:c r="F56" s="56"/>
      <x:c r="G56" s="56"/>
      <x:c r="H56" s="56"/>
      <x:c r="I56" s="56"/>
      <x:c r="J56" s="56"/>
      <x:c r="K56" s="56"/>
      <x:c r="L56" s="56"/>
      <x:c r="M56" s="56"/>
      <x:c r="N56" s="50" t="str">
        <x:f>IF(O56="可比较",SUMPRODUCT(F56:M56,'试点设置'!$B$29:$I$29)*20,"")</x:f>
      </x:c>
      <x:c r="O56" s="13" t="str">
        <x:f>IF(COUNTA(E56:M56)+COUNTA(P56)=0,"待评分",IF(OR(COUNTIFS($A$7:$A$150,A56)&lt;&gt;1,COUNTIFS('运行记录'!$A$7:$A$150,A56)&lt;&gt;1),"ID重复或无效",IF(INDEX('运行记录'!$AE$7:$AE$150,MATCH(A56,'运行记录'!$A$7:$A$150,0))&lt;&gt;"纳入","运行记录未纳入",IF(OR(E56="",P56="",COUNT(F56:M56)&lt;&gt;8),"待补齐评分或证据",IF(OR(MIN(F56:M56)&lt;1,MAX(F56:M56)&gt;5,MOD(F56,1)&lt;&gt;0,MOD(G56,1)&lt;&gt;0,MOD(H56,1)&lt;&gt;0,MOD(I56,1)&lt;&gt;0,MOD(J56,1)&lt;&gt;0,MOD(K56,1)&lt;&gt;0,MOD(L56,1)&lt;&gt;0,MOD(M56,1)&lt;&gt;0),"分数须为1至5整数",IF(ABS('试点设置'!$C$31-1)&gt;0.000001,"权重非100%","可比较"))))))</x:f>
        <x:v>待评分</x:v>
      </x:c>
      <x:c r="P56" s="10"/>
      <x:c r="Q56" s="13" t="n">
        <x:f>IF(O56&lt;&gt;"可比较",0,INDEX('配对比较'!$K$7:$K$42,MATCH(B56,'配对比较'!$A$7:$A$42,0)))</x:f>
        <x:v>0</x:v>
      </x:c>
    </x:row>
    <x:row r="57" ht="25" customHeight="1">
      <x:c r="A57" s="13" t="str">
        <x:v>F05-R1-TR</x:v>
      </x:c>
      <x:c r="B57" s="13" t="str">
        <x:f>IF(COUNTIFS('运行记录'!$A$7:$A$150,A57)=1,INDEX('运行记录'!$B$7:$B$150,MATCH(A57,'运行记录'!$A$7:$A$150,0)),"")</x:f>
        <x:v>F05-R1</x:v>
      </x:c>
      <x:c r="C57" s="13" t="str">
        <x:f>IF(COUNTIFS('运行记录'!$A$7:$A$150,A57)=1,INDEX('运行记录'!$C$7:$C$150,MATCH(A57,'运行记录'!$A$7:$A$150,0)),"")</x:f>
        <x:v>F05</x:v>
      </x:c>
      <x:c r="D57" s="13" t="str">
        <x:f>IF(COUNTIFS('运行记录'!$A$7:$A$150,A57)=1,INDEX('运行记录'!$E$7:$E$150,MATCH(A57,'运行记录'!$A$7:$A$150,0)),"")</x:f>
        <x:v>Trae</x:v>
      </x:c>
      <x:c r="E57" s="10"/>
      <x:c r="F57" s="56"/>
      <x:c r="G57" s="56"/>
      <x:c r="H57" s="56"/>
      <x:c r="I57" s="56"/>
      <x:c r="J57" s="56"/>
      <x:c r="K57" s="56"/>
      <x:c r="L57" s="56"/>
      <x:c r="M57" s="56"/>
      <x:c r="N57" s="50" t="str">
        <x:f>IF(O57="可比较",SUMPRODUCT(F57:M57,'试点设置'!$B$29:$I$29)*20,"")</x:f>
      </x:c>
      <x:c r="O57" s="13" t="str">
        <x:f>IF(COUNTA(E57:M57)+COUNTA(P57)=0,"待评分",IF(OR(COUNTIFS($A$7:$A$150,A57)&lt;&gt;1,COUNTIFS('运行记录'!$A$7:$A$150,A57)&lt;&gt;1),"ID重复或无效",IF(INDEX('运行记录'!$AE$7:$AE$150,MATCH(A57,'运行记录'!$A$7:$A$150,0))&lt;&gt;"纳入","运行记录未纳入",IF(OR(E57="",P57="",COUNT(F57:M57)&lt;&gt;8),"待补齐评分或证据",IF(OR(MIN(F57:M57)&lt;1,MAX(F57:M57)&gt;5,MOD(F57,1)&lt;&gt;0,MOD(G57,1)&lt;&gt;0,MOD(H57,1)&lt;&gt;0,MOD(I57,1)&lt;&gt;0,MOD(J57,1)&lt;&gt;0,MOD(K57,1)&lt;&gt;0,MOD(L57,1)&lt;&gt;0,MOD(M57,1)&lt;&gt;0),"分数须为1至5整数",IF(ABS('试点设置'!$C$31-1)&gt;0.000001,"权重非100%","可比较"))))))</x:f>
        <x:v>待评分</x:v>
      </x:c>
      <x:c r="P57" s="10"/>
      <x:c r="Q57" s="13" t="n">
        <x:f>IF(O57&lt;&gt;"可比较",0,INDEX('配对比较'!$K$7:$K$42,MATCH(B57,'配对比较'!$A$7:$A$42,0)))</x:f>
        <x:v>0</x:v>
      </x:c>
    </x:row>
    <x:row r="58" ht="25" customHeight="1">
      <x:c r="A58" s="13" t="str">
        <x:v>F05-R1-CA</x:v>
      </x:c>
      <x:c r="B58" s="13" t="str">
        <x:f>IF(COUNTIFS('运行记录'!$A$7:$A$150,A58)=1,INDEX('运行记录'!$B$7:$B$150,MATCH(A58,'运行记录'!$A$7:$A$150,0)),"")</x:f>
        <x:v>F05-R1</x:v>
      </x:c>
      <x:c r="C58" s="13" t="str">
        <x:f>IF(COUNTIFS('运行记录'!$A$7:$A$150,A58)=1,INDEX('运行记录'!$C$7:$C$150,MATCH(A58,'运行记录'!$A$7:$A$150,0)),"")</x:f>
        <x:v>F05</x:v>
      </x:c>
      <x:c r="D58" s="13" t="str">
        <x:f>IF(COUNTIFS('运行记录'!$A$7:$A$150,A58)=1,INDEX('运行记录'!$E$7:$E$150,MATCH(A58,'运行记录'!$A$7:$A$150,0)),"")</x:f>
        <x:v>CodeArts</x:v>
      </x:c>
      <x:c r="E58" s="10"/>
      <x:c r="F58" s="56"/>
      <x:c r="G58" s="56"/>
      <x:c r="H58" s="56"/>
      <x:c r="I58" s="56"/>
      <x:c r="J58" s="56"/>
      <x:c r="K58" s="56"/>
      <x:c r="L58" s="56"/>
      <x:c r="M58" s="56"/>
      <x:c r="N58" s="50" t="str">
        <x:f>IF(O58="可比较",SUMPRODUCT(F58:M58,'试点设置'!$B$29:$I$29)*20,"")</x:f>
      </x:c>
      <x:c r="O58" s="13" t="str">
        <x:f>IF(COUNTA(E58:M58)+COUNTA(P58)=0,"待评分",IF(OR(COUNTIFS($A$7:$A$150,A58)&lt;&gt;1,COUNTIFS('运行记录'!$A$7:$A$150,A58)&lt;&gt;1),"ID重复或无效",IF(INDEX('运行记录'!$AE$7:$AE$150,MATCH(A58,'运行记录'!$A$7:$A$150,0))&lt;&gt;"纳入","运行记录未纳入",IF(OR(E58="",P58="",COUNT(F58:M58)&lt;&gt;8),"待补齐评分或证据",IF(OR(MIN(F58:M58)&lt;1,MAX(F58:M58)&gt;5,MOD(F58,1)&lt;&gt;0,MOD(G58,1)&lt;&gt;0,MOD(H58,1)&lt;&gt;0,MOD(I58,1)&lt;&gt;0,MOD(J58,1)&lt;&gt;0,MOD(K58,1)&lt;&gt;0,MOD(L58,1)&lt;&gt;0,MOD(M58,1)&lt;&gt;0),"分数须为1至5整数",IF(ABS('试点设置'!$C$31-1)&gt;0.000001,"权重非100%","可比较"))))))</x:f>
        <x:v>待评分</x:v>
      </x:c>
      <x:c r="P58" s="10"/>
      <x:c r="Q58" s="13" t="n">
        <x:f>IF(O58&lt;&gt;"可比较",0,INDEX('配对比较'!$K$7:$K$42,MATCH(B58,'配对比较'!$A$7:$A$42,0)))</x:f>
        <x:v>0</x:v>
      </x:c>
    </x:row>
    <x:row r="59" ht="25" customHeight="1">
      <x:c r="A59" s="13" t="str">
        <x:v>F05-R2-CC</x:v>
      </x:c>
      <x:c r="B59" s="13" t="str">
        <x:f>IF(COUNTIFS('运行记录'!$A$7:$A$150,A59)=1,INDEX('运行记录'!$B$7:$B$150,MATCH(A59,'运行记录'!$A$7:$A$150,0)),"")</x:f>
        <x:v>F05-R2</x:v>
      </x:c>
      <x:c r="C59" s="13" t="str">
        <x:f>IF(COUNTIFS('运行记录'!$A$7:$A$150,A59)=1,INDEX('运行记录'!$C$7:$C$150,MATCH(A59,'运行记录'!$A$7:$A$150,0)),"")</x:f>
        <x:v>F05</x:v>
      </x:c>
      <x:c r="D59" s="13" t="str">
        <x:f>IF(COUNTIFS('运行记录'!$A$7:$A$150,A59)=1,INDEX('运行记录'!$E$7:$E$150,MATCH(A59,'运行记录'!$A$7:$A$150,0)),"")</x:f>
        <x:v>Claude Code</x:v>
      </x:c>
      <x:c r="E59" s="10"/>
      <x:c r="F59" s="56"/>
      <x:c r="G59" s="56"/>
      <x:c r="H59" s="56"/>
      <x:c r="I59" s="56"/>
      <x:c r="J59" s="56"/>
      <x:c r="K59" s="56"/>
      <x:c r="L59" s="56"/>
      <x:c r="M59" s="56"/>
      <x:c r="N59" s="50" t="str">
        <x:f>IF(O59="可比较",SUMPRODUCT(F59:M59,'试点设置'!$B$29:$I$29)*20,"")</x:f>
      </x:c>
      <x:c r="O59" s="13" t="str">
        <x:f>IF(COUNTA(E59:M59)+COUNTA(P59)=0,"待评分",IF(OR(COUNTIFS($A$7:$A$150,A59)&lt;&gt;1,COUNTIFS('运行记录'!$A$7:$A$150,A59)&lt;&gt;1),"ID重复或无效",IF(INDEX('运行记录'!$AE$7:$AE$150,MATCH(A59,'运行记录'!$A$7:$A$150,0))&lt;&gt;"纳入","运行记录未纳入",IF(OR(E59="",P59="",COUNT(F59:M59)&lt;&gt;8),"待补齐评分或证据",IF(OR(MIN(F59:M59)&lt;1,MAX(F59:M59)&gt;5,MOD(F59,1)&lt;&gt;0,MOD(G59,1)&lt;&gt;0,MOD(H59,1)&lt;&gt;0,MOD(I59,1)&lt;&gt;0,MOD(J59,1)&lt;&gt;0,MOD(K59,1)&lt;&gt;0,MOD(L59,1)&lt;&gt;0,MOD(M59,1)&lt;&gt;0),"分数须为1至5整数",IF(ABS('试点设置'!$C$31-1)&gt;0.000001,"权重非100%","可比较"))))))</x:f>
        <x:v>待评分</x:v>
      </x:c>
      <x:c r="P59" s="10"/>
      <x:c r="Q59" s="13" t="n">
        <x:f>IF(O59&lt;&gt;"可比较",0,INDEX('配对比较'!$K$7:$K$42,MATCH(B59,'配对比较'!$A$7:$A$42,0)))</x:f>
        <x:v>0</x:v>
      </x:c>
    </x:row>
    <x:row r="60" ht="25" customHeight="1">
      <x:c r="A60" s="13" t="str">
        <x:v>F05-R2-CX</x:v>
      </x:c>
      <x:c r="B60" s="13" t="str">
        <x:f>IF(COUNTIFS('运行记录'!$A$7:$A$150,A60)=1,INDEX('运行记录'!$B$7:$B$150,MATCH(A60,'运行记录'!$A$7:$A$150,0)),"")</x:f>
        <x:v>F05-R2</x:v>
      </x:c>
      <x:c r="C60" s="13" t="str">
        <x:f>IF(COUNTIFS('运行记录'!$A$7:$A$150,A60)=1,INDEX('运行记录'!$C$7:$C$150,MATCH(A60,'运行记录'!$A$7:$A$150,0)),"")</x:f>
        <x:v>F05</x:v>
      </x:c>
      <x:c r="D60" s="13" t="str">
        <x:f>IF(COUNTIFS('运行记录'!$A$7:$A$150,A60)=1,INDEX('运行记录'!$E$7:$E$150,MATCH(A60,'运行记录'!$A$7:$A$150,0)),"")</x:f>
        <x:v>Codex</x:v>
      </x:c>
      <x:c r="E60" s="10"/>
      <x:c r="F60" s="56"/>
      <x:c r="G60" s="56"/>
      <x:c r="H60" s="56"/>
      <x:c r="I60" s="56"/>
      <x:c r="J60" s="56"/>
      <x:c r="K60" s="56"/>
      <x:c r="L60" s="56"/>
      <x:c r="M60" s="56"/>
      <x:c r="N60" s="50" t="str">
        <x:f>IF(O60="可比较",SUMPRODUCT(F60:M60,'试点设置'!$B$29:$I$29)*20,"")</x:f>
      </x:c>
      <x:c r="O60" s="13" t="str">
        <x:f>IF(COUNTA(E60:M60)+COUNTA(P60)=0,"待评分",IF(OR(COUNTIFS($A$7:$A$150,A60)&lt;&gt;1,COUNTIFS('运行记录'!$A$7:$A$150,A60)&lt;&gt;1),"ID重复或无效",IF(INDEX('运行记录'!$AE$7:$AE$150,MATCH(A60,'运行记录'!$A$7:$A$150,0))&lt;&gt;"纳入","运行记录未纳入",IF(OR(E60="",P60="",COUNT(F60:M60)&lt;&gt;8),"待补齐评分或证据",IF(OR(MIN(F60:M60)&lt;1,MAX(F60:M60)&gt;5,MOD(F60,1)&lt;&gt;0,MOD(G60,1)&lt;&gt;0,MOD(H60,1)&lt;&gt;0,MOD(I60,1)&lt;&gt;0,MOD(J60,1)&lt;&gt;0,MOD(K60,1)&lt;&gt;0,MOD(L60,1)&lt;&gt;0,MOD(M60,1)&lt;&gt;0),"分数须为1至5整数",IF(ABS('试点设置'!$C$31-1)&gt;0.000001,"权重非100%","可比较"))))))</x:f>
        <x:v>待评分</x:v>
      </x:c>
      <x:c r="P60" s="10"/>
      <x:c r="Q60" s="13" t="n">
        <x:f>IF(O60&lt;&gt;"可比较",0,INDEX('配对比较'!$K$7:$K$42,MATCH(B60,'配对比较'!$A$7:$A$42,0)))</x:f>
        <x:v>0</x:v>
      </x:c>
    </x:row>
    <x:row r="61" ht="25" customHeight="1">
      <x:c r="A61" s="13" t="str">
        <x:v>F05-R2-TR</x:v>
      </x:c>
      <x:c r="B61" s="13" t="str">
        <x:f>IF(COUNTIFS('运行记录'!$A$7:$A$150,A61)=1,INDEX('运行记录'!$B$7:$B$150,MATCH(A61,'运行记录'!$A$7:$A$150,0)),"")</x:f>
        <x:v>F05-R2</x:v>
      </x:c>
      <x:c r="C61" s="13" t="str">
        <x:f>IF(COUNTIFS('运行记录'!$A$7:$A$150,A61)=1,INDEX('运行记录'!$C$7:$C$150,MATCH(A61,'运行记录'!$A$7:$A$150,0)),"")</x:f>
        <x:v>F05</x:v>
      </x:c>
      <x:c r="D61" s="13" t="str">
        <x:f>IF(COUNTIFS('运行记录'!$A$7:$A$150,A61)=1,INDEX('运行记录'!$E$7:$E$150,MATCH(A61,'运行记录'!$A$7:$A$150,0)),"")</x:f>
        <x:v>Trae</x:v>
      </x:c>
      <x:c r="E61" s="10"/>
      <x:c r="F61" s="56"/>
      <x:c r="G61" s="56"/>
      <x:c r="H61" s="56"/>
      <x:c r="I61" s="56"/>
      <x:c r="J61" s="56"/>
      <x:c r="K61" s="56"/>
      <x:c r="L61" s="56"/>
      <x:c r="M61" s="56"/>
      <x:c r="N61" s="50" t="str">
        <x:f>IF(O61="可比较",SUMPRODUCT(F61:M61,'试点设置'!$B$29:$I$29)*20,"")</x:f>
      </x:c>
      <x:c r="O61" s="13" t="str">
        <x:f>IF(COUNTA(E61:M61)+COUNTA(P61)=0,"待评分",IF(OR(COUNTIFS($A$7:$A$150,A61)&lt;&gt;1,COUNTIFS('运行记录'!$A$7:$A$150,A61)&lt;&gt;1),"ID重复或无效",IF(INDEX('运行记录'!$AE$7:$AE$150,MATCH(A61,'运行记录'!$A$7:$A$150,0))&lt;&gt;"纳入","运行记录未纳入",IF(OR(E61="",P61="",COUNT(F61:M61)&lt;&gt;8),"待补齐评分或证据",IF(OR(MIN(F61:M61)&lt;1,MAX(F61:M61)&gt;5,MOD(F61,1)&lt;&gt;0,MOD(G61,1)&lt;&gt;0,MOD(H61,1)&lt;&gt;0,MOD(I61,1)&lt;&gt;0,MOD(J61,1)&lt;&gt;0,MOD(K61,1)&lt;&gt;0,MOD(L61,1)&lt;&gt;0,MOD(M61,1)&lt;&gt;0),"分数须为1至5整数",IF(ABS('试点设置'!$C$31-1)&gt;0.000001,"权重非100%","可比较"))))))</x:f>
        <x:v>待评分</x:v>
      </x:c>
      <x:c r="P61" s="10"/>
      <x:c r="Q61" s="13" t="n">
        <x:f>IF(O61&lt;&gt;"可比较",0,INDEX('配对比较'!$K$7:$K$42,MATCH(B61,'配对比较'!$A$7:$A$42,0)))</x:f>
        <x:v>0</x:v>
      </x:c>
    </x:row>
    <x:row r="62" ht="25" customHeight="1">
      <x:c r="A62" s="13" t="str">
        <x:v>F05-R2-CA</x:v>
      </x:c>
      <x:c r="B62" s="13" t="str">
        <x:f>IF(COUNTIFS('运行记录'!$A$7:$A$150,A62)=1,INDEX('运行记录'!$B$7:$B$150,MATCH(A62,'运行记录'!$A$7:$A$150,0)),"")</x:f>
        <x:v>F05-R2</x:v>
      </x:c>
      <x:c r="C62" s="13" t="str">
        <x:f>IF(COUNTIFS('运行记录'!$A$7:$A$150,A62)=1,INDEX('运行记录'!$C$7:$C$150,MATCH(A62,'运行记录'!$A$7:$A$150,0)),"")</x:f>
        <x:v>F05</x:v>
      </x:c>
      <x:c r="D62" s="13" t="str">
        <x:f>IF(COUNTIFS('运行记录'!$A$7:$A$150,A62)=1,INDEX('运行记录'!$E$7:$E$150,MATCH(A62,'运行记录'!$A$7:$A$150,0)),"")</x:f>
        <x:v>CodeArts</x:v>
      </x:c>
      <x:c r="E62" s="10"/>
      <x:c r="F62" s="56"/>
      <x:c r="G62" s="56"/>
      <x:c r="H62" s="56"/>
      <x:c r="I62" s="56"/>
      <x:c r="J62" s="56"/>
      <x:c r="K62" s="56"/>
      <x:c r="L62" s="56"/>
      <x:c r="M62" s="56"/>
      <x:c r="N62" s="50" t="str">
        <x:f>IF(O62="可比较",SUMPRODUCT(F62:M62,'试点设置'!$B$29:$I$29)*20,"")</x:f>
      </x:c>
      <x:c r="O62" s="13" t="str">
        <x:f>IF(COUNTA(E62:M62)+COUNTA(P62)=0,"待评分",IF(OR(COUNTIFS($A$7:$A$150,A62)&lt;&gt;1,COUNTIFS('运行记录'!$A$7:$A$150,A62)&lt;&gt;1),"ID重复或无效",IF(INDEX('运行记录'!$AE$7:$AE$150,MATCH(A62,'运行记录'!$A$7:$A$150,0))&lt;&gt;"纳入","运行记录未纳入",IF(OR(E62="",P62="",COUNT(F62:M62)&lt;&gt;8),"待补齐评分或证据",IF(OR(MIN(F62:M62)&lt;1,MAX(F62:M62)&gt;5,MOD(F62,1)&lt;&gt;0,MOD(G62,1)&lt;&gt;0,MOD(H62,1)&lt;&gt;0,MOD(I62,1)&lt;&gt;0,MOD(J62,1)&lt;&gt;0,MOD(K62,1)&lt;&gt;0,MOD(L62,1)&lt;&gt;0,MOD(M62,1)&lt;&gt;0),"分数须为1至5整数",IF(ABS('试点设置'!$C$31-1)&gt;0.000001,"权重非100%","可比较"))))))</x:f>
        <x:v>待评分</x:v>
      </x:c>
      <x:c r="P62" s="10"/>
      <x:c r="Q62" s="13" t="n">
        <x:f>IF(O62&lt;&gt;"可比较",0,INDEX('配对比较'!$K$7:$K$42,MATCH(B62,'配对比较'!$A$7:$A$42,0)))</x:f>
        <x:v>0</x:v>
      </x:c>
    </x:row>
    <x:row r="63" ht="25" customHeight="1">
      <x:c r="A63" s="13" t="str">
        <x:v>F05-R3-CC</x:v>
      </x:c>
      <x:c r="B63" s="13" t="str">
        <x:f>IF(COUNTIFS('运行记录'!$A$7:$A$150,A63)=1,INDEX('运行记录'!$B$7:$B$150,MATCH(A63,'运行记录'!$A$7:$A$150,0)),"")</x:f>
        <x:v>F05-R3</x:v>
      </x:c>
      <x:c r="C63" s="13" t="str">
        <x:f>IF(COUNTIFS('运行记录'!$A$7:$A$150,A63)=1,INDEX('运行记录'!$C$7:$C$150,MATCH(A63,'运行记录'!$A$7:$A$150,0)),"")</x:f>
        <x:v>F05</x:v>
      </x:c>
      <x:c r="D63" s="13" t="str">
        <x:f>IF(COUNTIFS('运行记录'!$A$7:$A$150,A63)=1,INDEX('运行记录'!$E$7:$E$150,MATCH(A63,'运行记录'!$A$7:$A$150,0)),"")</x:f>
        <x:v>Claude Code</x:v>
      </x:c>
      <x:c r="E63" s="10"/>
      <x:c r="F63" s="56"/>
      <x:c r="G63" s="56"/>
      <x:c r="H63" s="56"/>
      <x:c r="I63" s="56"/>
      <x:c r="J63" s="56"/>
      <x:c r="K63" s="56"/>
      <x:c r="L63" s="56"/>
      <x:c r="M63" s="56"/>
      <x:c r="N63" s="50" t="str">
        <x:f>IF(O63="可比较",SUMPRODUCT(F63:M63,'试点设置'!$B$29:$I$29)*20,"")</x:f>
      </x:c>
      <x:c r="O63" s="13" t="str">
        <x:f>IF(COUNTA(E63:M63)+COUNTA(P63)=0,"待评分",IF(OR(COUNTIFS($A$7:$A$150,A63)&lt;&gt;1,COUNTIFS('运行记录'!$A$7:$A$150,A63)&lt;&gt;1),"ID重复或无效",IF(INDEX('运行记录'!$AE$7:$AE$150,MATCH(A63,'运行记录'!$A$7:$A$150,0))&lt;&gt;"纳入","运行记录未纳入",IF(OR(E63="",P63="",COUNT(F63:M63)&lt;&gt;8),"待补齐评分或证据",IF(OR(MIN(F63:M63)&lt;1,MAX(F63:M63)&gt;5,MOD(F63,1)&lt;&gt;0,MOD(G63,1)&lt;&gt;0,MOD(H63,1)&lt;&gt;0,MOD(I63,1)&lt;&gt;0,MOD(J63,1)&lt;&gt;0,MOD(K63,1)&lt;&gt;0,MOD(L63,1)&lt;&gt;0,MOD(M63,1)&lt;&gt;0),"分数须为1至5整数",IF(ABS('试点设置'!$C$31-1)&gt;0.000001,"权重非100%","可比较"))))))</x:f>
        <x:v>待评分</x:v>
      </x:c>
      <x:c r="P63" s="10"/>
      <x:c r="Q63" s="13" t="n">
        <x:f>IF(O63&lt;&gt;"可比较",0,INDEX('配对比较'!$K$7:$K$42,MATCH(B63,'配对比较'!$A$7:$A$42,0)))</x:f>
        <x:v>0</x:v>
      </x:c>
    </x:row>
    <x:row r="64" ht="25" customHeight="1">
      <x:c r="A64" s="13" t="str">
        <x:v>F05-R3-CX</x:v>
      </x:c>
      <x:c r="B64" s="13" t="str">
        <x:f>IF(COUNTIFS('运行记录'!$A$7:$A$150,A64)=1,INDEX('运行记录'!$B$7:$B$150,MATCH(A64,'运行记录'!$A$7:$A$150,0)),"")</x:f>
        <x:v>F05-R3</x:v>
      </x:c>
      <x:c r="C64" s="13" t="str">
        <x:f>IF(COUNTIFS('运行记录'!$A$7:$A$150,A64)=1,INDEX('运行记录'!$C$7:$C$150,MATCH(A64,'运行记录'!$A$7:$A$150,0)),"")</x:f>
        <x:v>F05</x:v>
      </x:c>
      <x:c r="D64" s="13" t="str">
        <x:f>IF(COUNTIFS('运行记录'!$A$7:$A$150,A64)=1,INDEX('运行记录'!$E$7:$E$150,MATCH(A64,'运行记录'!$A$7:$A$150,0)),"")</x:f>
        <x:v>Codex</x:v>
      </x:c>
      <x:c r="E64" s="10"/>
      <x:c r="F64" s="56"/>
      <x:c r="G64" s="56"/>
      <x:c r="H64" s="56"/>
      <x:c r="I64" s="56"/>
      <x:c r="J64" s="56"/>
      <x:c r="K64" s="56"/>
      <x:c r="L64" s="56"/>
      <x:c r="M64" s="56"/>
      <x:c r="N64" s="50" t="str">
        <x:f>IF(O64="可比较",SUMPRODUCT(F64:M64,'试点设置'!$B$29:$I$29)*20,"")</x:f>
      </x:c>
      <x:c r="O64" s="13" t="str">
        <x:f>IF(COUNTA(E64:M64)+COUNTA(P64)=0,"待评分",IF(OR(COUNTIFS($A$7:$A$150,A64)&lt;&gt;1,COUNTIFS('运行记录'!$A$7:$A$150,A64)&lt;&gt;1),"ID重复或无效",IF(INDEX('运行记录'!$AE$7:$AE$150,MATCH(A64,'运行记录'!$A$7:$A$150,0))&lt;&gt;"纳入","运行记录未纳入",IF(OR(E64="",P64="",COUNT(F64:M64)&lt;&gt;8),"待补齐评分或证据",IF(OR(MIN(F64:M64)&lt;1,MAX(F64:M64)&gt;5,MOD(F64,1)&lt;&gt;0,MOD(G64,1)&lt;&gt;0,MOD(H64,1)&lt;&gt;0,MOD(I64,1)&lt;&gt;0,MOD(J64,1)&lt;&gt;0,MOD(K64,1)&lt;&gt;0,MOD(L64,1)&lt;&gt;0,MOD(M64,1)&lt;&gt;0),"分数须为1至5整数",IF(ABS('试点设置'!$C$31-1)&gt;0.000001,"权重非100%","可比较"))))))</x:f>
        <x:v>待评分</x:v>
      </x:c>
      <x:c r="P64" s="10"/>
      <x:c r="Q64" s="13" t="n">
        <x:f>IF(O64&lt;&gt;"可比较",0,INDEX('配对比较'!$K$7:$K$42,MATCH(B64,'配对比较'!$A$7:$A$42,0)))</x:f>
        <x:v>0</x:v>
      </x:c>
    </x:row>
    <x:row r="65" ht="25" customHeight="1">
      <x:c r="A65" s="13" t="str">
        <x:v>F05-R3-TR</x:v>
      </x:c>
      <x:c r="B65" s="13" t="str">
        <x:f>IF(COUNTIFS('运行记录'!$A$7:$A$150,A65)=1,INDEX('运行记录'!$B$7:$B$150,MATCH(A65,'运行记录'!$A$7:$A$150,0)),"")</x:f>
        <x:v>F05-R3</x:v>
      </x:c>
      <x:c r="C65" s="13" t="str">
        <x:f>IF(COUNTIFS('运行记录'!$A$7:$A$150,A65)=1,INDEX('运行记录'!$C$7:$C$150,MATCH(A65,'运行记录'!$A$7:$A$150,0)),"")</x:f>
        <x:v>F05</x:v>
      </x:c>
      <x:c r="D65" s="13" t="str">
        <x:f>IF(COUNTIFS('运行记录'!$A$7:$A$150,A65)=1,INDEX('运行记录'!$E$7:$E$150,MATCH(A65,'运行记录'!$A$7:$A$150,0)),"")</x:f>
        <x:v>Trae</x:v>
      </x:c>
      <x:c r="E65" s="10"/>
      <x:c r="F65" s="56"/>
      <x:c r="G65" s="56"/>
      <x:c r="H65" s="56"/>
      <x:c r="I65" s="56"/>
      <x:c r="J65" s="56"/>
      <x:c r="K65" s="56"/>
      <x:c r="L65" s="56"/>
      <x:c r="M65" s="56"/>
      <x:c r="N65" s="50" t="str">
        <x:f>IF(O65="可比较",SUMPRODUCT(F65:M65,'试点设置'!$B$29:$I$29)*20,"")</x:f>
      </x:c>
      <x:c r="O65" s="13" t="str">
        <x:f>IF(COUNTA(E65:M65)+COUNTA(P65)=0,"待评分",IF(OR(COUNTIFS($A$7:$A$150,A65)&lt;&gt;1,COUNTIFS('运行记录'!$A$7:$A$150,A65)&lt;&gt;1),"ID重复或无效",IF(INDEX('运行记录'!$AE$7:$AE$150,MATCH(A65,'运行记录'!$A$7:$A$150,0))&lt;&gt;"纳入","运行记录未纳入",IF(OR(E65="",P65="",COUNT(F65:M65)&lt;&gt;8),"待补齐评分或证据",IF(OR(MIN(F65:M65)&lt;1,MAX(F65:M65)&gt;5,MOD(F65,1)&lt;&gt;0,MOD(G65,1)&lt;&gt;0,MOD(H65,1)&lt;&gt;0,MOD(I65,1)&lt;&gt;0,MOD(J65,1)&lt;&gt;0,MOD(K65,1)&lt;&gt;0,MOD(L65,1)&lt;&gt;0,MOD(M65,1)&lt;&gt;0),"分数须为1至5整数",IF(ABS('试点设置'!$C$31-1)&gt;0.000001,"权重非100%","可比较"))))))</x:f>
        <x:v>待评分</x:v>
      </x:c>
      <x:c r="P65" s="10"/>
      <x:c r="Q65" s="13" t="n">
        <x:f>IF(O65&lt;&gt;"可比较",0,INDEX('配对比较'!$K$7:$K$42,MATCH(B65,'配对比较'!$A$7:$A$42,0)))</x:f>
        <x:v>0</x:v>
      </x:c>
    </x:row>
    <x:row r="66" ht="25" customHeight="1">
      <x:c r="A66" s="13" t="str">
        <x:v>F05-R3-CA</x:v>
      </x:c>
      <x:c r="B66" s="13" t="str">
        <x:f>IF(COUNTIFS('运行记录'!$A$7:$A$150,A66)=1,INDEX('运行记录'!$B$7:$B$150,MATCH(A66,'运行记录'!$A$7:$A$150,0)),"")</x:f>
        <x:v>F05-R3</x:v>
      </x:c>
      <x:c r="C66" s="13" t="str">
        <x:f>IF(COUNTIFS('运行记录'!$A$7:$A$150,A66)=1,INDEX('运行记录'!$C$7:$C$150,MATCH(A66,'运行记录'!$A$7:$A$150,0)),"")</x:f>
        <x:v>F05</x:v>
      </x:c>
      <x:c r="D66" s="13" t="str">
        <x:f>IF(COUNTIFS('运行记录'!$A$7:$A$150,A66)=1,INDEX('运行记录'!$E$7:$E$150,MATCH(A66,'运行记录'!$A$7:$A$150,0)),"")</x:f>
        <x:v>CodeArts</x:v>
      </x:c>
      <x:c r="E66" s="10"/>
      <x:c r="F66" s="56"/>
      <x:c r="G66" s="56"/>
      <x:c r="H66" s="56"/>
      <x:c r="I66" s="56"/>
      <x:c r="J66" s="56"/>
      <x:c r="K66" s="56"/>
      <x:c r="L66" s="56"/>
      <x:c r="M66" s="56"/>
      <x:c r="N66" s="50" t="str">
        <x:f>IF(O66="可比较",SUMPRODUCT(F66:M66,'试点设置'!$B$29:$I$29)*20,"")</x:f>
      </x:c>
      <x:c r="O66" s="13" t="str">
        <x:f>IF(COUNTA(E66:M66)+COUNTA(P66)=0,"待评分",IF(OR(COUNTIFS($A$7:$A$150,A66)&lt;&gt;1,COUNTIFS('运行记录'!$A$7:$A$150,A66)&lt;&gt;1),"ID重复或无效",IF(INDEX('运行记录'!$AE$7:$AE$150,MATCH(A66,'运行记录'!$A$7:$A$150,0))&lt;&gt;"纳入","运行记录未纳入",IF(OR(E66="",P66="",COUNT(F66:M66)&lt;&gt;8),"待补齐评分或证据",IF(OR(MIN(F66:M66)&lt;1,MAX(F66:M66)&gt;5,MOD(F66,1)&lt;&gt;0,MOD(G66,1)&lt;&gt;0,MOD(H66,1)&lt;&gt;0,MOD(I66,1)&lt;&gt;0,MOD(J66,1)&lt;&gt;0,MOD(K66,1)&lt;&gt;0,MOD(L66,1)&lt;&gt;0,MOD(M66,1)&lt;&gt;0),"分数须为1至5整数",IF(ABS('试点设置'!$C$31-1)&gt;0.000001,"权重非100%","可比较"))))))</x:f>
        <x:v>待评分</x:v>
      </x:c>
      <x:c r="P66" s="10"/>
      <x:c r="Q66" s="13" t="n">
        <x:f>IF(O66&lt;&gt;"可比较",0,INDEX('配对比较'!$K$7:$K$42,MATCH(B66,'配对比较'!$A$7:$A$42,0)))</x:f>
        <x:v>0</x:v>
      </x:c>
    </x:row>
    <x:row r="67" ht="25" customHeight="1">
      <x:c r="A67" s="13" t="str">
        <x:v>F06-R1-CC</x:v>
      </x:c>
      <x:c r="B67" s="13" t="str">
        <x:f>IF(COUNTIFS('运行记录'!$A$7:$A$150,A67)=1,INDEX('运行记录'!$B$7:$B$150,MATCH(A67,'运行记录'!$A$7:$A$150,0)),"")</x:f>
        <x:v>F06-R1</x:v>
      </x:c>
      <x:c r="C67" s="13" t="str">
        <x:f>IF(COUNTIFS('运行记录'!$A$7:$A$150,A67)=1,INDEX('运行记录'!$C$7:$C$150,MATCH(A67,'运行记录'!$A$7:$A$150,0)),"")</x:f>
        <x:v>F06</x:v>
      </x:c>
      <x:c r="D67" s="13" t="str">
        <x:f>IF(COUNTIFS('运行记录'!$A$7:$A$150,A67)=1,INDEX('运行记录'!$E$7:$E$150,MATCH(A67,'运行记录'!$A$7:$A$150,0)),"")</x:f>
        <x:v>Claude Code</x:v>
      </x:c>
      <x:c r="E67" s="10"/>
      <x:c r="F67" s="56"/>
      <x:c r="G67" s="56"/>
      <x:c r="H67" s="56"/>
      <x:c r="I67" s="56"/>
      <x:c r="J67" s="56"/>
      <x:c r="K67" s="56"/>
      <x:c r="L67" s="56"/>
      <x:c r="M67" s="56"/>
      <x:c r="N67" s="50" t="str">
        <x:f>IF(O67="可比较",SUMPRODUCT(F67:M67,'试点设置'!$B$29:$I$29)*20,"")</x:f>
      </x:c>
      <x:c r="O67" s="13" t="str">
        <x:f>IF(COUNTA(E67:M67)+COUNTA(P67)=0,"待评分",IF(OR(COUNTIFS($A$7:$A$150,A67)&lt;&gt;1,COUNTIFS('运行记录'!$A$7:$A$150,A67)&lt;&gt;1),"ID重复或无效",IF(INDEX('运行记录'!$AE$7:$AE$150,MATCH(A67,'运行记录'!$A$7:$A$150,0))&lt;&gt;"纳入","运行记录未纳入",IF(OR(E67="",P67="",COUNT(F67:M67)&lt;&gt;8),"待补齐评分或证据",IF(OR(MIN(F67:M67)&lt;1,MAX(F67:M67)&gt;5,MOD(F67,1)&lt;&gt;0,MOD(G67,1)&lt;&gt;0,MOD(H67,1)&lt;&gt;0,MOD(I67,1)&lt;&gt;0,MOD(J67,1)&lt;&gt;0,MOD(K67,1)&lt;&gt;0,MOD(L67,1)&lt;&gt;0,MOD(M67,1)&lt;&gt;0),"分数须为1至5整数",IF(ABS('试点设置'!$C$31-1)&gt;0.000001,"权重非100%","可比较"))))))</x:f>
        <x:v>待评分</x:v>
      </x:c>
      <x:c r="P67" s="10"/>
      <x:c r="Q67" s="13" t="n">
        <x:f>IF(O67&lt;&gt;"可比较",0,INDEX('配对比较'!$K$7:$K$42,MATCH(B67,'配对比较'!$A$7:$A$42,0)))</x:f>
        <x:v>0</x:v>
      </x:c>
    </x:row>
    <x:row r="68" ht="25" customHeight="1">
      <x:c r="A68" s="13" t="str">
        <x:v>F06-R1-CX</x:v>
      </x:c>
      <x:c r="B68" s="13" t="str">
        <x:f>IF(COUNTIFS('运行记录'!$A$7:$A$150,A68)=1,INDEX('运行记录'!$B$7:$B$150,MATCH(A68,'运行记录'!$A$7:$A$150,0)),"")</x:f>
        <x:v>F06-R1</x:v>
      </x:c>
      <x:c r="C68" s="13" t="str">
        <x:f>IF(COUNTIFS('运行记录'!$A$7:$A$150,A68)=1,INDEX('运行记录'!$C$7:$C$150,MATCH(A68,'运行记录'!$A$7:$A$150,0)),"")</x:f>
        <x:v>F06</x:v>
      </x:c>
      <x:c r="D68" s="13" t="str">
        <x:f>IF(COUNTIFS('运行记录'!$A$7:$A$150,A68)=1,INDEX('运行记录'!$E$7:$E$150,MATCH(A68,'运行记录'!$A$7:$A$150,0)),"")</x:f>
        <x:v>Codex</x:v>
      </x:c>
      <x:c r="E68" s="10"/>
      <x:c r="F68" s="56"/>
      <x:c r="G68" s="56"/>
      <x:c r="H68" s="56"/>
      <x:c r="I68" s="56"/>
      <x:c r="J68" s="56"/>
      <x:c r="K68" s="56"/>
      <x:c r="L68" s="56"/>
      <x:c r="M68" s="56"/>
      <x:c r="N68" s="50" t="str">
        <x:f>IF(O68="可比较",SUMPRODUCT(F68:M68,'试点设置'!$B$29:$I$29)*20,"")</x:f>
      </x:c>
      <x:c r="O68" s="13" t="str">
        <x:f>IF(COUNTA(E68:M68)+COUNTA(P68)=0,"待评分",IF(OR(COUNTIFS($A$7:$A$150,A68)&lt;&gt;1,COUNTIFS('运行记录'!$A$7:$A$150,A68)&lt;&gt;1),"ID重复或无效",IF(INDEX('运行记录'!$AE$7:$AE$150,MATCH(A68,'运行记录'!$A$7:$A$150,0))&lt;&gt;"纳入","运行记录未纳入",IF(OR(E68="",P68="",COUNT(F68:M68)&lt;&gt;8),"待补齐评分或证据",IF(OR(MIN(F68:M68)&lt;1,MAX(F68:M68)&gt;5,MOD(F68,1)&lt;&gt;0,MOD(G68,1)&lt;&gt;0,MOD(H68,1)&lt;&gt;0,MOD(I68,1)&lt;&gt;0,MOD(J68,1)&lt;&gt;0,MOD(K68,1)&lt;&gt;0,MOD(L68,1)&lt;&gt;0,MOD(M68,1)&lt;&gt;0),"分数须为1至5整数",IF(ABS('试点设置'!$C$31-1)&gt;0.000001,"权重非100%","可比较"))))))</x:f>
        <x:v>待评分</x:v>
      </x:c>
      <x:c r="P68" s="10"/>
      <x:c r="Q68" s="13" t="n">
        <x:f>IF(O68&lt;&gt;"可比较",0,INDEX('配对比较'!$K$7:$K$42,MATCH(B68,'配对比较'!$A$7:$A$42,0)))</x:f>
        <x:v>0</x:v>
      </x:c>
    </x:row>
    <x:row r="69" ht="25" customHeight="1">
      <x:c r="A69" s="13" t="str">
        <x:v>F06-R1-TR</x:v>
      </x:c>
      <x:c r="B69" s="13" t="str">
        <x:f>IF(COUNTIFS('运行记录'!$A$7:$A$150,A69)=1,INDEX('运行记录'!$B$7:$B$150,MATCH(A69,'运行记录'!$A$7:$A$150,0)),"")</x:f>
        <x:v>F06-R1</x:v>
      </x:c>
      <x:c r="C69" s="13" t="str">
        <x:f>IF(COUNTIFS('运行记录'!$A$7:$A$150,A69)=1,INDEX('运行记录'!$C$7:$C$150,MATCH(A69,'运行记录'!$A$7:$A$150,0)),"")</x:f>
        <x:v>F06</x:v>
      </x:c>
      <x:c r="D69" s="13" t="str">
        <x:f>IF(COUNTIFS('运行记录'!$A$7:$A$150,A69)=1,INDEX('运行记录'!$E$7:$E$150,MATCH(A69,'运行记录'!$A$7:$A$150,0)),"")</x:f>
        <x:v>Trae</x:v>
      </x:c>
      <x:c r="E69" s="10"/>
      <x:c r="F69" s="56"/>
      <x:c r="G69" s="56"/>
      <x:c r="H69" s="56"/>
      <x:c r="I69" s="56"/>
      <x:c r="J69" s="56"/>
      <x:c r="K69" s="56"/>
      <x:c r="L69" s="56"/>
      <x:c r="M69" s="56"/>
      <x:c r="N69" s="50" t="str">
        <x:f>IF(O69="可比较",SUMPRODUCT(F69:M69,'试点设置'!$B$29:$I$29)*20,"")</x:f>
      </x:c>
      <x:c r="O69" s="13" t="str">
        <x:f>IF(COUNTA(E69:M69)+COUNTA(P69)=0,"待评分",IF(OR(COUNTIFS($A$7:$A$150,A69)&lt;&gt;1,COUNTIFS('运行记录'!$A$7:$A$150,A69)&lt;&gt;1),"ID重复或无效",IF(INDEX('运行记录'!$AE$7:$AE$150,MATCH(A69,'运行记录'!$A$7:$A$150,0))&lt;&gt;"纳入","运行记录未纳入",IF(OR(E69="",P69="",COUNT(F69:M69)&lt;&gt;8),"待补齐评分或证据",IF(OR(MIN(F69:M69)&lt;1,MAX(F69:M69)&gt;5,MOD(F69,1)&lt;&gt;0,MOD(G69,1)&lt;&gt;0,MOD(H69,1)&lt;&gt;0,MOD(I69,1)&lt;&gt;0,MOD(J69,1)&lt;&gt;0,MOD(K69,1)&lt;&gt;0,MOD(L69,1)&lt;&gt;0,MOD(M69,1)&lt;&gt;0),"分数须为1至5整数",IF(ABS('试点设置'!$C$31-1)&gt;0.000001,"权重非100%","可比较"))))))</x:f>
        <x:v>待评分</x:v>
      </x:c>
      <x:c r="P69" s="10"/>
      <x:c r="Q69" s="13" t="n">
        <x:f>IF(O69&lt;&gt;"可比较",0,INDEX('配对比较'!$K$7:$K$42,MATCH(B69,'配对比较'!$A$7:$A$42,0)))</x:f>
        <x:v>0</x:v>
      </x:c>
    </x:row>
    <x:row r="70" ht="25" customHeight="1">
      <x:c r="A70" s="13" t="str">
        <x:v>F06-R1-CA</x:v>
      </x:c>
      <x:c r="B70" s="13" t="str">
        <x:f>IF(COUNTIFS('运行记录'!$A$7:$A$150,A70)=1,INDEX('运行记录'!$B$7:$B$150,MATCH(A70,'运行记录'!$A$7:$A$150,0)),"")</x:f>
        <x:v>F06-R1</x:v>
      </x:c>
      <x:c r="C70" s="13" t="str">
        <x:f>IF(COUNTIFS('运行记录'!$A$7:$A$150,A70)=1,INDEX('运行记录'!$C$7:$C$150,MATCH(A70,'运行记录'!$A$7:$A$150,0)),"")</x:f>
        <x:v>F06</x:v>
      </x:c>
      <x:c r="D70" s="13" t="str">
        <x:f>IF(COUNTIFS('运行记录'!$A$7:$A$150,A70)=1,INDEX('运行记录'!$E$7:$E$150,MATCH(A70,'运行记录'!$A$7:$A$150,0)),"")</x:f>
        <x:v>CodeArts</x:v>
      </x:c>
      <x:c r="E70" s="10"/>
      <x:c r="F70" s="56"/>
      <x:c r="G70" s="56"/>
      <x:c r="H70" s="56"/>
      <x:c r="I70" s="56"/>
      <x:c r="J70" s="56"/>
      <x:c r="K70" s="56"/>
      <x:c r="L70" s="56"/>
      <x:c r="M70" s="56"/>
      <x:c r="N70" s="50" t="str">
        <x:f>IF(O70="可比较",SUMPRODUCT(F70:M70,'试点设置'!$B$29:$I$29)*20,"")</x:f>
      </x:c>
      <x:c r="O70" s="13" t="str">
        <x:f>IF(COUNTA(E70:M70)+COUNTA(P70)=0,"待评分",IF(OR(COUNTIFS($A$7:$A$150,A70)&lt;&gt;1,COUNTIFS('运行记录'!$A$7:$A$150,A70)&lt;&gt;1),"ID重复或无效",IF(INDEX('运行记录'!$AE$7:$AE$150,MATCH(A70,'运行记录'!$A$7:$A$150,0))&lt;&gt;"纳入","运行记录未纳入",IF(OR(E70="",P70="",COUNT(F70:M70)&lt;&gt;8),"待补齐评分或证据",IF(OR(MIN(F70:M70)&lt;1,MAX(F70:M70)&gt;5,MOD(F70,1)&lt;&gt;0,MOD(G70,1)&lt;&gt;0,MOD(H70,1)&lt;&gt;0,MOD(I70,1)&lt;&gt;0,MOD(J70,1)&lt;&gt;0,MOD(K70,1)&lt;&gt;0,MOD(L70,1)&lt;&gt;0,MOD(M70,1)&lt;&gt;0),"分数须为1至5整数",IF(ABS('试点设置'!$C$31-1)&gt;0.000001,"权重非100%","可比较"))))))</x:f>
        <x:v>待评分</x:v>
      </x:c>
      <x:c r="P70" s="10"/>
      <x:c r="Q70" s="13" t="n">
        <x:f>IF(O70&lt;&gt;"可比较",0,INDEX('配对比较'!$K$7:$K$42,MATCH(B70,'配对比较'!$A$7:$A$42,0)))</x:f>
        <x:v>0</x:v>
      </x:c>
    </x:row>
    <x:row r="71" ht="25" customHeight="1">
      <x:c r="A71" s="13" t="str">
        <x:v>F06-R2-CC</x:v>
      </x:c>
      <x:c r="B71" s="13" t="str">
        <x:f>IF(COUNTIFS('运行记录'!$A$7:$A$150,A71)=1,INDEX('运行记录'!$B$7:$B$150,MATCH(A71,'运行记录'!$A$7:$A$150,0)),"")</x:f>
        <x:v>F06-R2</x:v>
      </x:c>
      <x:c r="C71" s="13" t="str">
        <x:f>IF(COUNTIFS('运行记录'!$A$7:$A$150,A71)=1,INDEX('运行记录'!$C$7:$C$150,MATCH(A71,'运行记录'!$A$7:$A$150,0)),"")</x:f>
        <x:v>F06</x:v>
      </x:c>
      <x:c r="D71" s="13" t="str">
        <x:f>IF(COUNTIFS('运行记录'!$A$7:$A$150,A71)=1,INDEX('运行记录'!$E$7:$E$150,MATCH(A71,'运行记录'!$A$7:$A$150,0)),"")</x:f>
        <x:v>Claude Code</x:v>
      </x:c>
      <x:c r="E71" s="10"/>
      <x:c r="F71" s="56"/>
      <x:c r="G71" s="56"/>
      <x:c r="H71" s="56"/>
      <x:c r="I71" s="56"/>
      <x:c r="J71" s="56"/>
      <x:c r="K71" s="56"/>
      <x:c r="L71" s="56"/>
      <x:c r="M71" s="56"/>
      <x:c r="N71" s="50" t="str">
        <x:f>IF(O71="可比较",SUMPRODUCT(F71:M71,'试点设置'!$B$29:$I$29)*20,"")</x:f>
      </x:c>
      <x:c r="O71" s="13" t="str">
        <x:f>IF(COUNTA(E71:M71)+COUNTA(P71)=0,"待评分",IF(OR(COUNTIFS($A$7:$A$150,A71)&lt;&gt;1,COUNTIFS('运行记录'!$A$7:$A$150,A71)&lt;&gt;1),"ID重复或无效",IF(INDEX('运行记录'!$AE$7:$AE$150,MATCH(A71,'运行记录'!$A$7:$A$150,0))&lt;&gt;"纳入","运行记录未纳入",IF(OR(E71="",P71="",COUNT(F71:M71)&lt;&gt;8),"待补齐评分或证据",IF(OR(MIN(F71:M71)&lt;1,MAX(F71:M71)&gt;5,MOD(F71,1)&lt;&gt;0,MOD(G71,1)&lt;&gt;0,MOD(H71,1)&lt;&gt;0,MOD(I71,1)&lt;&gt;0,MOD(J71,1)&lt;&gt;0,MOD(K71,1)&lt;&gt;0,MOD(L71,1)&lt;&gt;0,MOD(M71,1)&lt;&gt;0),"分数须为1至5整数",IF(ABS('试点设置'!$C$31-1)&gt;0.000001,"权重非100%","可比较"))))))</x:f>
        <x:v>待评分</x:v>
      </x:c>
      <x:c r="P71" s="10"/>
      <x:c r="Q71" s="13" t="n">
        <x:f>IF(O71&lt;&gt;"可比较",0,INDEX('配对比较'!$K$7:$K$42,MATCH(B71,'配对比较'!$A$7:$A$42,0)))</x:f>
        <x:v>0</x:v>
      </x:c>
    </x:row>
    <x:row r="72" ht="25" customHeight="1">
      <x:c r="A72" s="13" t="str">
        <x:v>F06-R2-CX</x:v>
      </x:c>
      <x:c r="B72" s="13" t="str">
        <x:f>IF(COUNTIFS('运行记录'!$A$7:$A$150,A72)=1,INDEX('运行记录'!$B$7:$B$150,MATCH(A72,'运行记录'!$A$7:$A$150,0)),"")</x:f>
        <x:v>F06-R2</x:v>
      </x:c>
      <x:c r="C72" s="13" t="str">
        <x:f>IF(COUNTIFS('运行记录'!$A$7:$A$150,A72)=1,INDEX('运行记录'!$C$7:$C$150,MATCH(A72,'运行记录'!$A$7:$A$150,0)),"")</x:f>
        <x:v>F06</x:v>
      </x:c>
      <x:c r="D72" s="13" t="str">
        <x:f>IF(COUNTIFS('运行记录'!$A$7:$A$150,A72)=1,INDEX('运行记录'!$E$7:$E$150,MATCH(A72,'运行记录'!$A$7:$A$150,0)),"")</x:f>
        <x:v>Codex</x:v>
      </x:c>
      <x:c r="E72" s="10"/>
      <x:c r="F72" s="56"/>
      <x:c r="G72" s="56"/>
      <x:c r="H72" s="56"/>
      <x:c r="I72" s="56"/>
      <x:c r="J72" s="56"/>
      <x:c r="K72" s="56"/>
      <x:c r="L72" s="56"/>
      <x:c r="M72" s="56"/>
      <x:c r="N72" s="50" t="str">
        <x:f>IF(O72="可比较",SUMPRODUCT(F72:M72,'试点设置'!$B$29:$I$29)*20,"")</x:f>
      </x:c>
      <x:c r="O72" s="13" t="str">
        <x:f>IF(COUNTA(E72:M72)+COUNTA(P72)=0,"待评分",IF(OR(COUNTIFS($A$7:$A$150,A72)&lt;&gt;1,COUNTIFS('运行记录'!$A$7:$A$150,A72)&lt;&gt;1),"ID重复或无效",IF(INDEX('运行记录'!$AE$7:$AE$150,MATCH(A72,'运行记录'!$A$7:$A$150,0))&lt;&gt;"纳入","运行记录未纳入",IF(OR(E72="",P72="",COUNT(F72:M72)&lt;&gt;8),"待补齐评分或证据",IF(OR(MIN(F72:M72)&lt;1,MAX(F72:M72)&gt;5,MOD(F72,1)&lt;&gt;0,MOD(G72,1)&lt;&gt;0,MOD(H72,1)&lt;&gt;0,MOD(I72,1)&lt;&gt;0,MOD(J72,1)&lt;&gt;0,MOD(K72,1)&lt;&gt;0,MOD(L72,1)&lt;&gt;0,MOD(M72,1)&lt;&gt;0),"分数须为1至5整数",IF(ABS('试点设置'!$C$31-1)&gt;0.000001,"权重非100%","可比较"))))))</x:f>
        <x:v>待评分</x:v>
      </x:c>
      <x:c r="P72" s="10"/>
      <x:c r="Q72" s="13" t="n">
        <x:f>IF(O72&lt;&gt;"可比较",0,INDEX('配对比较'!$K$7:$K$42,MATCH(B72,'配对比较'!$A$7:$A$42,0)))</x:f>
        <x:v>0</x:v>
      </x:c>
    </x:row>
    <x:row r="73" ht="25" customHeight="1">
      <x:c r="A73" s="13" t="str">
        <x:v>F06-R2-TR</x:v>
      </x:c>
      <x:c r="B73" s="13" t="str">
        <x:f>IF(COUNTIFS('运行记录'!$A$7:$A$150,A73)=1,INDEX('运行记录'!$B$7:$B$150,MATCH(A73,'运行记录'!$A$7:$A$150,0)),"")</x:f>
        <x:v>F06-R2</x:v>
      </x:c>
      <x:c r="C73" s="13" t="str">
        <x:f>IF(COUNTIFS('运行记录'!$A$7:$A$150,A73)=1,INDEX('运行记录'!$C$7:$C$150,MATCH(A73,'运行记录'!$A$7:$A$150,0)),"")</x:f>
        <x:v>F06</x:v>
      </x:c>
      <x:c r="D73" s="13" t="str">
        <x:f>IF(COUNTIFS('运行记录'!$A$7:$A$150,A73)=1,INDEX('运行记录'!$E$7:$E$150,MATCH(A73,'运行记录'!$A$7:$A$150,0)),"")</x:f>
        <x:v>Trae</x:v>
      </x:c>
      <x:c r="E73" s="10"/>
      <x:c r="F73" s="56"/>
      <x:c r="G73" s="56"/>
      <x:c r="H73" s="56"/>
      <x:c r="I73" s="56"/>
      <x:c r="J73" s="56"/>
      <x:c r="K73" s="56"/>
      <x:c r="L73" s="56"/>
      <x:c r="M73" s="56"/>
      <x:c r="N73" s="50" t="str">
        <x:f>IF(O73="可比较",SUMPRODUCT(F73:M73,'试点设置'!$B$29:$I$29)*20,"")</x:f>
      </x:c>
      <x:c r="O73" s="13" t="str">
        <x:f>IF(COUNTA(E73:M73)+COUNTA(P73)=0,"待评分",IF(OR(COUNTIFS($A$7:$A$150,A73)&lt;&gt;1,COUNTIFS('运行记录'!$A$7:$A$150,A73)&lt;&gt;1),"ID重复或无效",IF(INDEX('运行记录'!$AE$7:$AE$150,MATCH(A73,'运行记录'!$A$7:$A$150,0))&lt;&gt;"纳入","运行记录未纳入",IF(OR(E73="",P73="",COUNT(F73:M73)&lt;&gt;8),"待补齐评分或证据",IF(OR(MIN(F73:M73)&lt;1,MAX(F73:M73)&gt;5,MOD(F73,1)&lt;&gt;0,MOD(G73,1)&lt;&gt;0,MOD(H73,1)&lt;&gt;0,MOD(I73,1)&lt;&gt;0,MOD(J73,1)&lt;&gt;0,MOD(K73,1)&lt;&gt;0,MOD(L73,1)&lt;&gt;0,MOD(M73,1)&lt;&gt;0),"分数须为1至5整数",IF(ABS('试点设置'!$C$31-1)&gt;0.000001,"权重非100%","可比较"))))))</x:f>
        <x:v>待评分</x:v>
      </x:c>
      <x:c r="P73" s="10"/>
      <x:c r="Q73" s="13" t="n">
        <x:f>IF(O73&lt;&gt;"可比较",0,INDEX('配对比较'!$K$7:$K$42,MATCH(B73,'配对比较'!$A$7:$A$42,0)))</x:f>
        <x:v>0</x:v>
      </x:c>
    </x:row>
    <x:row r="74" ht="25" customHeight="1">
      <x:c r="A74" s="13" t="str">
        <x:v>F06-R2-CA</x:v>
      </x:c>
      <x:c r="B74" s="13" t="str">
        <x:f>IF(COUNTIFS('运行记录'!$A$7:$A$150,A74)=1,INDEX('运行记录'!$B$7:$B$150,MATCH(A74,'运行记录'!$A$7:$A$150,0)),"")</x:f>
        <x:v>F06-R2</x:v>
      </x:c>
      <x:c r="C74" s="13" t="str">
        <x:f>IF(COUNTIFS('运行记录'!$A$7:$A$150,A74)=1,INDEX('运行记录'!$C$7:$C$150,MATCH(A74,'运行记录'!$A$7:$A$150,0)),"")</x:f>
        <x:v>F06</x:v>
      </x:c>
      <x:c r="D74" s="13" t="str">
        <x:f>IF(COUNTIFS('运行记录'!$A$7:$A$150,A74)=1,INDEX('运行记录'!$E$7:$E$150,MATCH(A74,'运行记录'!$A$7:$A$150,0)),"")</x:f>
        <x:v>CodeArts</x:v>
      </x:c>
      <x:c r="E74" s="10"/>
      <x:c r="F74" s="56"/>
      <x:c r="G74" s="56"/>
      <x:c r="H74" s="56"/>
      <x:c r="I74" s="56"/>
      <x:c r="J74" s="56"/>
      <x:c r="K74" s="56"/>
      <x:c r="L74" s="56"/>
      <x:c r="M74" s="56"/>
      <x:c r="N74" s="50" t="str">
        <x:f>IF(O74="可比较",SUMPRODUCT(F74:M74,'试点设置'!$B$29:$I$29)*20,"")</x:f>
      </x:c>
      <x:c r="O74" s="13" t="str">
        <x:f>IF(COUNTA(E74:M74)+COUNTA(P74)=0,"待评分",IF(OR(COUNTIFS($A$7:$A$150,A74)&lt;&gt;1,COUNTIFS('运行记录'!$A$7:$A$150,A74)&lt;&gt;1),"ID重复或无效",IF(INDEX('运行记录'!$AE$7:$AE$150,MATCH(A74,'运行记录'!$A$7:$A$150,0))&lt;&gt;"纳入","运行记录未纳入",IF(OR(E74="",P74="",COUNT(F74:M74)&lt;&gt;8),"待补齐评分或证据",IF(OR(MIN(F74:M74)&lt;1,MAX(F74:M74)&gt;5,MOD(F74,1)&lt;&gt;0,MOD(G74,1)&lt;&gt;0,MOD(H74,1)&lt;&gt;0,MOD(I74,1)&lt;&gt;0,MOD(J74,1)&lt;&gt;0,MOD(K74,1)&lt;&gt;0,MOD(L74,1)&lt;&gt;0,MOD(M74,1)&lt;&gt;0),"分数须为1至5整数",IF(ABS('试点设置'!$C$31-1)&gt;0.000001,"权重非100%","可比较"))))))</x:f>
        <x:v>待评分</x:v>
      </x:c>
      <x:c r="P74" s="10"/>
      <x:c r="Q74" s="13" t="n">
        <x:f>IF(O74&lt;&gt;"可比较",0,INDEX('配对比较'!$K$7:$K$42,MATCH(B74,'配对比较'!$A$7:$A$42,0)))</x:f>
        <x:v>0</x:v>
      </x:c>
    </x:row>
    <x:row r="75" ht="25" customHeight="1">
      <x:c r="A75" s="13" t="str">
        <x:v>F06-R3-CC</x:v>
      </x:c>
      <x:c r="B75" s="13" t="str">
        <x:f>IF(COUNTIFS('运行记录'!$A$7:$A$150,A75)=1,INDEX('运行记录'!$B$7:$B$150,MATCH(A75,'运行记录'!$A$7:$A$150,0)),"")</x:f>
        <x:v>F06-R3</x:v>
      </x:c>
      <x:c r="C75" s="13" t="str">
        <x:f>IF(COUNTIFS('运行记录'!$A$7:$A$150,A75)=1,INDEX('运行记录'!$C$7:$C$150,MATCH(A75,'运行记录'!$A$7:$A$150,0)),"")</x:f>
        <x:v>F06</x:v>
      </x:c>
      <x:c r="D75" s="13" t="str">
        <x:f>IF(COUNTIFS('运行记录'!$A$7:$A$150,A75)=1,INDEX('运行记录'!$E$7:$E$150,MATCH(A75,'运行记录'!$A$7:$A$150,0)),"")</x:f>
        <x:v>Claude Code</x:v>
      </x:c>
      <x:c r="E75" s="10"/>
      <x:c r="F75" s="56"/>
      <x:c r="G75" s="56"/>
      <x:c r="H75" s="56"/>
      <x:c r="I75" s="56"/>
      <x:c r="J75" s="56"/>
      <x:c r="K75" s="56"/>
      <x:c r="L75" s="56"/>
      <x:c r="M75" s="56"/>
      <x:c r="N75" s="50" t="str">
        <x:f>IF(O75="可比较",SUMPRODUCT(F75:M75,'试点设置'!$B$29:$I$29)*20,"")</x:f>
      </x:c>
      <x:c r="O75" s="13" t="str">
        <x:f>IF(COUNTA(E75:M75)+COUNTA(P75)=0,"待评分",IF(OR(COUNTIFS($A$7:$A$150,A75)&lt;&gt;1,COUNTIFS('运行记录'!$A$7:$A$150,A75)&lt;&gt;1),"ID重复或无效",IF(INDEX('运行记录'!$AE$7:$AE$150,MATCH(A75,'运行记录'!$A$7:$A$150,0))&lt;&gt;"纳入","运行记录未纳入",IF(OR(E75="",P75="",COUNT(F75:M75)&lt;&gt;8),"待补齐评分或证据",IF(OR(MIN(F75:M75)&lt;1,MAX(F75:M75)&gt;5,MOD(F75,1)&lt;&gt;0,MOD(G75,1)&lt;&gt;0,MOD(H75,1)&lt;&gt;0,MOD(I75,1)&lt;&gt;0,MOD(J75,1)&lt;&gt;0,MOD(K75,1)&lt;&gt;0,MOD(L75,1)&lt;&gt;0,MOD(M75,1)&lt;&gt;0),"分数须为1至5整数",IF(ABS('试点设置'!$C$31-1)&gt;0.000001,"权重非100%","可比较"))))))</x:f>
        <x:v>待评分</x:v>
      </x:c>
      <x:c r="P75" s="10"/>
      <x:c r="Q75" s="13" t="n">
        <x:f>IF(O75&lt;&gt;"可比较",0,INDEX('配对比较'!$K$7:$K$42,MATCH(B75,'配对比较'!$A$7:$A$42,0)))</x:f>
        <x:v>0</x:v>
      </x:c>
    </x:row>
    <x:row r="76" ht="25" customHeight="1">
      <x:c r="A76" s="13" t="str">
        <x:v>F06-R3-CX</x:v>
      </x:c>
      <x:c r="B76" s="13" t="str">
        <x:f>IF(COUNTIFS('运行记录'!$A$7:$A$150,A76)=1,INDEX('运行记录'!$B$7:$B$150,MATCH(A76,'运行记录'!$A$7:$A$150,0)),"")</x:f>
        <x:v>F06-R3</x:v>
      </x:c>
      <x:c r="C76" s="13" t="str">
        <x:f>IF(COUNTIFS('运行记录'!$A$7:$A$150,A76)=1,INDEX('运行记录'!$C$7:$C$150,MATCH(A76,'运行记录'!$A$7:$A$150,0)),"")</x:f>
        <x:v>F06</x:v>
      </x:c>
      <x:c r="D76" s="13" t="str">
        <x:f>IF(COUNTIFS('运行记录'!$A$7:$A$150,A76)=1,INDEX('运行记录'!$E$7:$E$150,MATCH(A76,'运行记录'!$A$7:$A$150,0)),"")</x:f>
        <x:v>Codex</x:v>
      </x:c>
      <x:c r="E76" s="10"/>
      <x:c r="F76" s="56"/>
      <x:c r="G76" s="56"/>
      <x:c r="H76" s="56"/>
      <x:c r="I76" s="56"/>
      <x:c r="J76" s="56"/>
      <x:c r="K76" s="56"/>
      <x:c r="L76" s="56"/>
      <x:c r="M76" s="56"/>
      <x:c r="N76" s="50" t="str">
        <x:f>IF(O76="可比较",SUMPRODUCT(F76:M76,'试点设置'!$B$29:$I$29)*20,"")</x:f>
      </x:c>
      <x:c r="O76" s="13" t="str">
        <x:f>IF(COUNTA(E76:M76)+COUNTA(P76)=0,"待评分",IF(OR(COUNTIFS($A$7:$A$150,A76)&lt;&gt;1,COUNTIFS('运行记录'!$A$7:$A$150,A76)&lt;&gt;1),"ID重复或无效",IF(INDEX('运行记录'!$AE$7:$AE$150,MATCH(A76,'运行记录'!$A$7:$A$150,0))&lt;&gt;"纳入","运行记录未纳入",IF(OR(E76="",P76="",COUNT(F76:M76)&lt;&gt;8),"待补齐评分或证据",IF(OR(MIN(F76:M76)&lt;1,MAX(F76:M76)&gt;5,MOD(F76,1)&lt;&gt;0,MOD(G76,1)&lt;&gt;0,MOD(H76,1)&lt;&gt;0,MOD(I76,1)&lt;&gt;0,MOD(J76,1)&lt;&gt;0,MOD(K76,1)&lt;&gt;0,MOD(L76,1)&lt;&gt;0,MOD(M76,1)&lt;&gt;0),"分数须为1至5整数",IF(ABS('试点设置'!$C$31-1)&gt;0.000001,"权重非100%","可比较"))))))</x:f>
        <x:v>待评分</x:v>
      </x:c>
      <x:c r="P76" s="10"/>
      <x:c r="Q76" s="13" t="n">
        <x:f>IF(O76&lt;&gt;"可比较",0,INDEX('配对比较'!$K$7:$K$42,MATCH(B76,'配对比较'!$A$7:$A$42,0)))</x:f>
        <x:v>0</x:v>
      </x:c>
    </x:row>
    <x:row r="77" ht="25" customHeight="1">
      <x:c r="A77" s="13" t="str">
        <x:v>F06-R3-TR</x:v>
      </x:c>
      <x:c r="B77" s="13" t="str">
        <x:f>IF(COUNTIFS('运行记录'!$A$7:$A$150,A77)=1,INDEX('运行记录'!$B$7:$B$150,MATCH(A77,'运行记录'!$A$7:$A$150,0)),"")</x:f>
        <x:v>F06-R3</x:v>
      </x:c>
      <x:c r="C77" s="13" t="str">
        <x:f>IF(COUNTIFS('运行记录'!$A$7:$A$150,A77)=1,INDEX('运行记录'!$C$7:$C$150,MATCH(A77,'运行记录'!$A$7:$A$150,0)),"")</x:f>
        <x:v>F06</x:v>
      </x:c>
      <x:c r="D77" s="13" t="str">
        <x:f>IF(COUNTIFS('运行记录'!$A$7:$A$150,A77)=1,INDEX('运行记录'!$E$7:$E$150,MATCH(A77,'运行记录'!$A$7:$A$150,0)),"")</x:f>
        <x:v>Trae</x:v>
      </x:c>
      <x:c r="E77" s="10"/>
      <x:c r="F77" s="56"/>
      <x:c r="G77" s="56"/>
      <x:c r="H77" s="56"/>
      <x:c r="I77" s="56"/>
      <x:c r="J77" s="56"/>
      <x:c r="K77" s="56"/>
      <x:c r="L77" s="56"/>
      <x:c r="M77" s="56"/>
      <x:c r="N77" s="50" t="str">
        <x:f>IF(O77="可比较",SUMPRODUCT(F77:M77,'试点设置'!$B$29:$I$29)*20,"")</x:f>
      </x:c>
      <x:c r="O77" s="13" t="str">
        <x:f>IF(COUNTA(E77:M77)+COUNTA(P77)=0,"待评分",IF(OR(COUNTIFS($A$7:$A$150,A77)&lt;&gt;1,COUNTIFS('运行记录'!$A$7:$A$150,A77)&lt;&gt;1),"ID重复或无效",IF(INDEX('运行记录'!$AE$7:$AE$150,MATCH(A77,'运行记录'!$A$7:$A$150,0))&lt;&gt;"纳入","运行记录未纳入",IF(OR(E77="",P77="",COUNT(F77:M77)&lt;&gt;8),"待补齐评分或证据",IF(OR(MIN(F77:M77)&lt;1,MAX(F77:M77)&gt;5,MOD(F77,1)&lt;&gt;0,MOD(G77,1)&lt;&gt;0,MOD(H77,1)&lt;&gt;0,MOD(I77,1)&lt;&gt;0,MOD(J77,1)&lt;&gt;0,MOD(K77,1)&lt;&gt;0,MOD(L77,1)&lt;&gt;0,MOD(M77,1)&lt;&gt;0),"分数须为1至5整数",IF(ABS('试点设置'!$C$31-1)&gt;0.000001,"权重非100%","可比较"))))))</x:f>
        <x:v>待评分</x:v>
      </x:c>
      <x:c r="P77" s="10"/>
      <x:c r="Q77" s="13" t="n">
        <x:f>IF(O77&lt;&gt;"可比较",0,INDEX('配对比较'!$K$7:$K$42,MATCH(B77,'配对比较'!$A$7:$A$42,0)))</x:f>
        <x:v>0</x:v>
      </x:c>
    </x:row>
    <x:row r="78" ht="25" customHeight="1">
      <x:c r="A78" s="13" t="str">
        <x:v>F06-R3-CA</x:v>
      </x:c>
      <x:c r="B78" s="13" t="str">
        <x:f>IF(COUNTIFS('运行记录'!$A$7:$A$150,A78)=1,INDEX('运行记录'!$B$7:$B$150,MATCH(A78,'运行记录'!$A$7:$A$150,0)),"")</x:f>
        <x:v>F06-R3</x:v>
      </x:c>
      <x:c r="C78" s="13" t="str">
        <x:f>IF(COUNTIFS('运行记录'!$A$7:$A$150,A78)=1,INDEX('运行记录'!$C$7:$C$150,MATCH(A78,'运行记录'!$A$7:$A$150,0)),"")</x:f>
        <x:v>F06</x:v>
      </x:c>
      <x:c r="D78" s="13" t="str">
        <x:f>IF(COUNTIFS('运行记录'!$A$7:$A$150,A78)=1,INDEX('运行记录'!$E$7:$E$150,MATCH(A78,'运行记录'!$A$7:$A$150,0)),"")</x:f>
        <x:v>CodeArts</x:v>
      </x:c>
      <x:c r="E78" s="10"/>
      <x:c r="F78" s="56"/>
      <x:c r="G78" s="56"/>
      <x:c r="H78" s="56"/>
      <x:c r="I78" s="56"/>
      <x:c r="J78" s="56"/>
      <x:c r="K78" s="56"/>
      <x:c r="L78" s="56"/>
      <x:c r="M78" s="56"/>
      <x:c r="N78" s="50" t="str">
        <x:f>IF(O78="可比较",SUMPRODUCT(F78:M78,'试点设置'!$B$29:$I$29)*20,"")</x:f>
      </x:c>
      <x:c r="O78" s="13" t="str">
        <x:f>IF(COUNTA(E78:M78)+COUNTA(P78)=0,"待评分",IF(OR(COUNTIFS($A$7:$A$150,A78)&lt;&gt;1,COUNTIFS('运行记录'!$A$7:$A$150,A78)&lt;&gt;1),"ID重复或无效",IF(INDEX('运行记录'!$AE$7:$AE$150,MATCH(A78,'运行记录'!$A$7:$A$150,0))&lt;&gt;"纳入","运行记录未纳入",IF(OR(E78="",P78="",COUNT(F78:M78)&lt;&gt;8),"待补齐评分或证据",IF(OR(MIN(F78:M78)&lt;1,MAX(F78:M78)&gt;5,MOD(F78,1)&lt;&gt;0,MOD(G78,1)&lt;&gt;0,MOD(H78,1)&lt;&gt;0,MOD(I78,1)&lt;&gt;0,MOD(J78,1)&lt;&gt;0,MOD(K78,1)&lt;&gt;0,MOD(L78,1)&lt;&gt;0,MOD(M78,1)&lt;&gt;0),"分数须为1至5整数",IF(ABS('试点设置'!$C$31-1)&gt;0.000001,"权重非100%","可比较"))))))</x:f>
        <x:v>待评分</x:v>
      </x:c>
      <x:c r="P78" s="10"/>
      <x:c r="Q78" s="13" t="n">
        <x:f>IF(O78&lt;&gt;"可比较",0,INDEX('配对比较'!$K$7:$K$42,MATCH(B78,'配对比较'!$A$7:$A$42,0)))</x:f>
        <x:v>0</x:v>
      </x:c>
    </x:row>
    <x:row r="79" ht="25" customHeight="1">
      <x:c r="A79" s="13" t="str">
        <x:v>F07-R1-CC</x:v>
      </x:c>
      <x:c r="B79" s="13" t="str">
        <x:f>IF(COUNTIFS('运行记录'!$A$7:$A$150,A79)=1,INDEX('运行记录'!$B$7:$B$150,MATCH(A79,'运行记录'!$A$7:$A$150,0)),"")</x:f>
        <x:v>F07-R1</x:v>
      </x:c>
      <x:c r="C79" s="13" t="str">
        <x:f>IF(COUNTIFS('运行记录'!$A$7:$A$150,A79)=1,INDEX('运行记录'!$C$7:$C$150,MATCH(A79,'运行记录'!$A$7:$A$150,0)),"")</x:f>
        <x:v>F07</x:v>
      </x:c>
      <x:c r="D79" s="13" t="str">
        <x:f>IF(COUNTIFS('运行记录'!$A$7:$A$150,A79)=1,INDEX('运行记录'!$E$7:$E$150,MATCH(A79,'运行记录'!$A$7:$A$150,0)),"")</x:f>
        <x:v>Claude Code</x:v>
      </x:c>
      <x:c r="E79" s="10"/>
      <x:c r="F79" s="56"/>
      <x:c r="G79" s="56"/>
      <x:c r="H79" s="56"/>
      <x:c r="I79" s="56"/>
      <x:c r="J79" s="56"/>
      <x:c r="K79" s="56"/>
      <x:c r="L79" s="56"/>
      <x:c r="M79" s="56"/>
      <x:c r="N79" s="50" t="str">
        <x:f>IF(O79="可比较",SUMPRODUCT(F79:M79,'试点设置'!$B$29:$I$29)*20,"")</x:f>
      </x:c>
      <x:c r="O79" s="13" t="str">
        <x:f>IF(COUNTA(E79:M79)+COUNTA(P79)=0,"待评分",IF(OR(COUNTIFS($A$7:$A$150,A79)&lt;&gt;1,COUNTIFS('运行记录'!$A$7:$A$150,A79)&lt;&gt;1),"ID重复或无效",IF(INDEX('运行记录'!$AE$7:$AE$150,MATCH(A79,'运行记录'!$A$7:$A$150,0))&lt;&gt;"纳入","运行记录未纳入",IF(OR(E79="",P79="",COUNT(F79:M79)&lt;&gt;8),"待补齐评分或证据",IF(OR(MIN(F79:M79)&lt;1,MAX(F79:M79)&gt;5,MOD(F79,1)&lt;&gt;0,MOD(G79,1)&lt;&gt;0,MOD(H79,1)&lt;&gt;0,MOD(I79,1)&lt;&gt;0,MOD(J79,1)&lt;&gt;0,MOD(K79,1)&lt;&gt;0,MOD(L79,1)&lt;&gt;0,MOD(M79,1)&lt;&gt;0),"分数须为1至5整数",IF(ABS('试点设置'!$C$31-1)&gt;0.000001,"权重非100%","可比较"))))))</x:f>
        <x:v>待评分</x:v>
      </x:c>
      <x:c r="P79" s="10"/>
      <x:c r="Q79" s="13" t="n">
        <x:f>IF(O79&lt;&gt;"可比较",0,INDEX('配对比较'!$K$7:$K$42,MATCH(B79,'配对比较'!$A$7:$A$42,0)))</x:f>
        <x:v>0</x:v>
      </x:c>
    </x:row>
    <x:row r="80" ht="25" customHeight="1">
      <x:c r="A80" s="13" t="str">
        <x:v>F07-R1-CX</x:v>
      </x:c>
      <x:c r="B80" s="13" t="str">
        <x:f>IF(COUNTIFS('运行记录'!$A$7:$A$150,A80)=1,INDEX('运行记录'!$B$7:$B$150,MATCH(A80,'运行记录'!$A$7:$A$150,0)),"")</x:f>
        <x:v>F07-R1</x:v>
      </x:c>
      <x:c r="C80" s="13" t="str">
        <x:f>IF(COUNTIFS('运行记录'!$A$7:$A$150,A80)=1,INDEX('运行记录'!$C$7:$C$150,MATCH(A80,'运行记录'!$A$7:$A$150,0)),"")</x:f>
        <x:v>F07</x:v>
      </x:c>
      <x:c r="D80" s="13" t="str">
        <x:f>IF(COUNTIFS('运行记录'!$A$7:$A$150,A80)=1,INDEX('运行记录'!$E$7:$E$150,MATCH(A80,'运行记录'!$A$7:$A$150,0)),"")</x:f>
        <x:v>Codex</x:v>
      </x:c>
      <x:c r="E80" s="10"/>
      <x:c r="F80" s="56"/>
      <x:c r="G80" s="56"/>
      <x:c r="H80" s="56"/>
      <x:c r="I80" s="56"/>
      <x:c r="J80" s="56"/>
      <x:c r="K80" s="56"/>
      <x:c r="L80" s="56"/>
      <x:c r="M80" s="56"/>
      <x:c r="N80" s="50" t="str">
        <x:f>IF(O80="可比较",SUMPRODUCT(F80:M80,'试点设置'!$B$29:$I$29)*20,"")</x:f>
      </x:c>
      <x:c r="O80" s="13" t="str">
        <x:f>IF(COUNTA(E80:M80)+COUNTA(P80)=0,"待评分",IF(OR(COUNTIFS($A$7:$A$150,A80)&lt;&gt;1,COUNTIFS('运行记录'!$A$7:$A$150,A80)&lt;&gt;1),"ID重复或无效",IF(INDEX('运行记录'!$AE$7:$AE$150,MATCH(A80,'运行记录'!$A$7:$A$150,0))&lt;&gt;"纳入","运行记录未纳入",IF(OR(E80="",P80="",COUNT(F80:M80)&lt;&gt;8),"待补齐评分或证据",IF(OR(MIN(F80:M80)&lt;1,MAX(F80:M80)&gt;5,MOD(F80,1)&lt;&gt;0,MOD(G80,1)&lt;&gt;0,MOD(H80,1)&lt;&gt;0,MOD(I80,1)&lt;&gt;0,MOD(J80,1)&lt;&gt;0,MOD(K80,1)&lt;&gt;0,MOD(L80,1)&lt;&gt;0,MOD(M80,1)&lt;&gt;0),"分数须为1至5整数",IF(ABS('试点设置'!$C$31-1)&gt;0.000001,"权重非100%","可比较"))))))</x:f>
        <x:v>待评分</x:v>
      </x:c>
      <x:c r="P80" s="10"/>
      <x:c r="Q80" s="13" t="n">
        <x:f>IF(O80&lt;&gt;"可比较",0,INDEX('配对比较'!$K$7:$K$42,MATCH(B80,'配对比较'!$A$7:$A$42,0)))</x:f>
        <x:v>0</x:v>
      </x:c>
    </x:row>
    <x:row r="81" ht="25" customHeight="1">
      <x:c r="A81" s="13" t="str">
        <x:v>F07-R1-TR</x:v>
      </x:c>
      <x:c r="B81" s="13" t="str">
        <x:f>IF(COUNTIFS('运行记录'!$A$7:$A$150,A81)=1,INDEX('运行记录'!$B$7:$B$150,MATCH(A81,'运行记录'!$A$7:$A$150,0)),"")</x:f>
        <x:v>F07-R1</x:v>
      </x:c>
      <x:c r="C81" s="13" t="str">
        <x:f>IF(COUNTIFS('运行记录'!$A$7:$A$150,A81)=1,INDEX('运行记录'!$C$7:$C$150,MATCH(A81,'运行记录'!$A$7:$A$150,0)),"")</x:f>
        <x:v>F07</x:v>
      </x:c>
      <x:c r="D81" s="13" t="str">
        <x:f>IF(COUNTIFS('运行记录'!$A$7:$A$150,A81)=1,INDEX('运行记录'!$E$7:$E$150,MATCH(A81,'运行记录'!$A$7:$A$150,0)),"")</x:f>
        <x:v>Trae</x:v>
      </x:c>
      <x:c r="E81" s="10"/>
      <x:c r="F81" s="56"/>
      <x:c r="G81" s="56"/>
      <x:c r="H81" s="56"/>
      <x:c r="I81" s="56"/>
      <x:c r="J81" s="56"/>
      <x:c r="K81" s="56"/>
      <x:c r="L81" s="56"/>
      <x:c r="M81" s="56"/>
      <x:c r="N81" s="50" t="str">
        <x:f>IF(O81="可比较",SUMPRODUCT(F81:M81,'试点设置'!$B$29:$I$29)*20,"")</x:f>
      </x:c>
      <x:c r="O81" s="13" t="str">
        <x:f>IF(COUNTA(E81:M81)+COUNTA(P81)=0,"待评分",IF(OR(COUNTIFS($A$7:$A$150,A81)&lt;&gt;1,COUNTIFS('运行记录'!$A$7:$A$150,A81)&lt;&gt;1),"ID重复或无效",IF(INDEX('运行记录'!$AE$7:$AE$150,MATCH(A81,'运行记录'!$A$7:$A$150,0))&lt;&gt;"纳入","运行记录未纳入",IF(OR(E81="",P81="",COUNT(F81:M81)&lt;&gt;8),"待补齐评分或证据",IF(OR(MIN(F81:M81)&lt;1,MAX(F81:M81)&gt;5,MOD(F81,1)&lt;&gt;0,MOD(G81,1)&lt;&gt;0,MOD(H81,1)&lt;&gt;0,MOD(I81,1)&lt;&gt;0,MOD(J81,1)&lt;&gt;0,MOD(K81,1)&lt;&gt;0,MOD(L81,1)&lt;&gt;0,MOD(M81,1)&lt;&gt;0),"分数须为1至5整数",IF(ABS('试点设置'!$C$31-1)&gt;0.000001,"权重非100%","可比较"))))))</x:f>
        <x:v>待评分</x:v>
      </x:c>
      <x:c r="P81" s="10"/>
      <x:c r="Q81" s="13" t="n">
        <x:f>IF(O81&lt;&gt;"可比较",0,INDEX('配对比较'!$K$7:$K$42,MATCH(B81,'配对比较'!$A$7:$A$42,0)))</x:f>
        <x:v>0</x:v>
      </x:c>
    </x:row>
    <x:row r="82" ht="25" customHeight="1">
      <x:c r="A82" s="13" t="str">
        <x:v>F07-R1-CA</x:v>
      </x:c>
      <x:c r="B82" s="13" t="str">
        <x:f>IF(COUNTIFS('运行记录'!$A$7:$A$150,A82)=1,INDEX('运行记录'!$B$7:$B$150,MATCH(A82,'运行记录'!$A$7:$A$150,0)),"")</x:f>
        <x:v>F07-R1</x:v>
      </x:c>
      <x:c r="C82" s="13" t="str">
        <x:f>IF(COUNTIFS('运行记录'!$A$7:$A$150,A82)=1,INDEX('运行记录'!$C$7:$C$150,MATCH(A82,'运行记录'!$A$7:$A$150,0)),"")</x:f>
        <x:v>F07</x:v>
      </x:c>
      <x:c r="D82" s="13" t="str">
        <x:f>IF(COUNTIFS('运行记录'!$A$7:$A$150,A82)=1,INDEX('运行记录'!$E$7:$E$150,MATCH(A82,'运行记录'!$A$7:$A$150,0)),"")</x:f>
        <x:v>CodeArts</x:v>
      </x:c>
      <x:c r="E82" s="10"/>
      <x:c r="F82" s="56"/>
      <x:c r="G82" s="56"/>
      <x:c r="H82" s="56"/>
      <x:c r="I82" s="56"/>
      <x:c r="J82" s="56"/>
      <x:c r="K82" s="56"/>
      <x:c r="L82" s="56"/>
      <x:c r="M82" s="56"/>
      <x:c r="N82" s="50" t="str">
        <x:f>IF(O82="可比较",SUMPRODUCT(F82:M82,'试点设置'!$B$29:$I$29)*20,"")</x:f>
      </x:c>
      <x:c r="O82" s="13" t="str">
        <x:f>IF(COUNTA(E82:M82)+COUNTA(P82)=0,"待评分",IF(OR(COUNTIFS($A$7:$A$150,A82)&lt;&gt;1,COUNTIFS('运行记录'!$A$7:$A$150,A82)&lt;&gt;1),"ID重复或无效",IF(INDEX('运行记录'!$AE$7:$AE$150,MATCH(A82,'运行记录'!$A$7:$A$150,0))&lt;&gt;"纳入","运行记录未纳入",IF(OR(E82="",P82="",COUNT(F82:M82)&lt;&gt;8),"待补齐评分或证据",IF(OR(MIN(F82:M82)&lt;1,MAX(F82:M82)&gt;5,MOD(F82,1)&lt;&gt;0,MOD(G82,1)&lt;&gt;0,MOD(H82,1)&lt;&gt;0,MOD(I82,1)&lt;&gt;0,MOD(J82,1)&lt;&gt;0,MOD(K82,1)&lt;&gt;0,MOD(L82,1)&lt;&gt;0,MOD(M82,1)&lt;&gt;0),"分数须为1至5整数",IF(ABS('试点设置'!$C$31-1)&gt;0.000001,"权重非100%","可比较"))))))</x:f>
        <x:v>待评分</x:v>
      </x:c>
      <x:c r="P82" s="10"/>
      <x:c r="Q82" s="13" t="n">
        <x:f>IF(O82&lt;&gt;"可比较",0,INDEX('配对比较'!$K$7:$K$42,MATCH(B82,'配对比较'!$A$7:$A$42,0)))</x:f>
        <x:v>0</x:v>
      </x:c>
    </x:row>
    <x:row r="83" ht="25" customHeight="1">
      <x:c r="A83" s="13" t="str">
        <x:v>F07-R2-CC</x:v>
      </x:c>
      <x:c r="B83" s="13" t="str">
        <x:f>IF(COUNTIFS('运行记录'!$A$7:$A$150,A83)=1,INDEX('运行记录'!$B$7:$B$150,MATCH(A83,'运行记录'!$A$7:$A$150,0)),"")</x:f>
        <x:v>F07-R2</x:v>
      </x:c>
      <x:c r="C83" s="13" t="str">
        <x:f>IF(COUNTIFS('运行记录'!$A$7:$A$150,A83)=1,INDEX('运行记录'!$C$7:$C$150,MATCH(A83,'运行记录'!$A$7:$A$150,0)),"")</x:f>
        <x:v>F07</x:v>
      </x:c>
      <x:c r="D83" s="13" t="str">
        <x:f>IF(COUNTIFS('运行记录'!$A$7:$A$150,A83)=1,INDEX('运行记录'!$E$7:$E$150,MATCH(A83,'运行记录'!$A$7:$A$150,0)),"")</x:f>
        <x:v>Claude Code</x:v>
      </x:c>
      <x:c r="E83" s="10"/>
      <x:c r="F83" s="56"/>
      <x:c r="G83" s="56"/>
      <x:c r="H83" s="56"/>
      <x:c r="I83" s="56"/>
      <x:c r="J83" s="56"/>
      <x:c r="K83" s="56"/>
      <x:c r="L83" s="56"/>
      <x:c r="M83" s="56"/>
      <x:c r="N83" s="50" t="str">
        <x:f>IF(O83="可比较",SUMPRODUCT(F83:M83,'试点设置'!$B$29:$I$29)*20,"")</x:f>
      </x:c>
      <x:c r="O83" s="13" t="str">
        <x:f>IF(COUNTA(E83:M83)+COUNTA(P83)=0,"待评分",IF(OR(COUNTIFS($A$7:$A$150,A83)&lt;&gt;1,COUNTIFS('运行记录'!$A$7:$A$150,A83)&lt;&gt;1),"ID重复或无效",IF(INDEX('运行记录'!$AE$7:$AE$150,MATCH(A83,'运行记录'!$A$7:$A$150,0))&lt;&gt;"纳入","运行记录未纳入",IF(OR(E83="",P83="",COUNT(F83:M83)&lt;&gt;8),"待补齐评分或证据",IF(OR(MIN(F83:M83)&lt;1,MAX(F83:M83)&gt;5,MOD(F83,1)&lt;&gt;0,MOD(G83,1)&lt;&gt;0,MOD(H83,1)&lt;&gt;0,MOD(I83,1)&lt;&gt;0,MOD(J83,1)&lt;&gt;0,MOD(K83,1)&lt;&gt;0,MOD(L83,1)&lt;&gt;0,MOD(M83,1)&lt;&gt;0),"分数须为1至5整数",IF(ABS('试点设置'!$C$31-1)&gt;0.000001,"权重非100%","可比较"))))))</x:f>
        <x:v>待评分</x:v>
      </x:c>
      <x:c r="P83" s="10"/>
      <x:c r="Q83" s="13" t="n">
        <x:f>IF(O83&lt;&gt;"可比较",0,INDEX('配对比较'!$K$7:$K$42,MATCH(B83,'配对比较'!$A$7:$A$42,0)))</x:f>
        <x:v>0</x:v>
      </x:c>
    </x:row>
    <x:row r="84" ht="25" customHeight="1">
      <x:c r="A84" s="13" t="str">
        <x:v>F07-R2-CX</x:v>
      </x:c>
      <x:c r="B84" s="13" t="str">
        <x:f>IF(COUNTIFS('运行记录'!$A$7:$A$150,A84)=1,INDEX('运行记录'!$B$7:$B$150,MATCH(A84,'运行记录'!$A$7:$A$150,0)),"")</x:f>
        <x:v>F07-R2</x:v>
      </x:c>
      <x:c r="C84" s="13" t="str">
        <x:f>IF(COUNTIFS('运行记录'!$A$7:$A$150,A84)=1,INDEX('运行记录'!$C$7:$C$150,MATCH(A84,'运行记录'!$A$7:$A$150,0)),"")</x:f>
        <x:v>F07</x:v>
      </x:c>
      <x:c r="D84" s="13" t="str">
        <x:f>IF(COUNTIFS('运行记录'!$A$7:$A$150,A84)=1,INDEX('运行记录'!$E$7:$E$150,MATCH(A84,'运行记录'!$A$7:$A$150,0)),"")</x:f>
        <x:v>Codex</x:v>
      </x:c>
      <x:c r="E84" s="10"/>
      <x:c r="F84" s="56"/>
      <x:c r="G84" s="56"/>
      <x:c r="H84" s="56"/>
      <x:c r="I84" s="56"/>
      <x:c r="J84" s="56"/>
      <x:c r="K84" s="56"/>
      <x:c r="L84" s="56"/>
      <x:c r="M84" s="56"/>
      <x:c r="N84" s="50" t="str">
        <x:f>IF(O84="可比较",SUMPRODUCT(F84:M84,'试点设置'!$B$29:$I$29)*20,"")</x:f>
      </x:c>
      <x:c r="O84" s="13" t="str">
        <x:f>IF(COUNTA(E84:M84)+COUNTA(P84)=0,"待评分",IF(OR(COUNTIFS($A$7:$A$150,A84)&lt;&gt;1,COUNTIFS('运行记录'!$A$7:$A$150,A84)&lt;&gt;1),"ID重复或无效",IF(INDEX('运行记录'!$AE$7:$AE$150,MATCH(A84,'运行记录'!$A$7:$A$150,0))&lt;&gt;"纳入","运行记录未纳入",IF(OR(E84="",P84="",COUNT(F84:M84)&lt;&gt;8),"待补齐评分或证据",IF(OR(MIN(F84:M84)&lt;1,MAX(F84:M84)&gt;5,MOD(F84,1)&lt;&gt;0,MOD(G84,1)&lt;&gt;0,MOD(H84,1)&lt;&gt;0,MOD(I84,1)&lt;&gt;0,MOD(J84,1)&lt;&gt;0,MOD(K84,1)&lt;&gt;0,MOD(L84,1)&lt;&gt;0,MOD(M84,1)&lt;&gt;0),"分数须为1至5整数",IF(ABS('试点设置'!$C$31-1)&gt;0.000001,"权重非100%","可比较"))))))</x:f>
        <x:v>待评分</x:v>
      </x:c>
      <x:c r="P84" s="10"/>
      <x:c r="Q84" s="13" t="n">
        <x:f>IF(O84&lt;&gt;"可比较",0,INDEX('配对比较'!$K$7:$K$42,MATCH(B84,'配对比较'!$A$7:$A$42,0)))</x:f>
        <x:v>0</x:v>
      </x:c>
    </x:row>
    <x:row r="85" ht="25" customHeight="1">
      <x:c r="A85" s="13" t="str">
        <x:v>F07-R2-TR</x:v>
      </x:c>
      <x:c r="B85" s="13" t="str">
        <x:f>IF(COUNTIFS('运行记录'!$A$7:$A$150,A85)=1,INDEX('运行记录'!$B$7:$B$150,MATCH(A85,'运行记录'!$A$7:$A$150,0)),"")</x:f>
        <x:v>F07-R2</x:v>
      </x:c>
      <x:c r="C85" s="13" t="str">
        <x:f>IF(COUNTIFS('运行记录'!$A$7:$A$150,A85)=1,INDEX('运行记录'!$C$7:$C$150,MATCH(A85,'运行记录'!$A$7:$A$150,0)),"")</x:f>
        <x:v>F07</x:v>
      </x:c>
      <x:c r="D85" s="13" t="str">
        <x:f>IF(COUNTIFS('运行记录'!$A$7:$A$150,A85)=1,INDEX('运行记录'!$E$7:$E$150,MATCH(A85,'运行记录'!$A$7:$A$150,0)),"")</x:f>
        <x:v>Trae</x:v>
      </x:c>
      <x:c r="E85" s="10"/>
      <x:c r="F85" s="56"/>
      <x:c r="G85" s="56"/>
      <x:c r="H85" s="56"/>
      <x:c r="I85" s="56"/>
      <x:c r="J85" s="56"/>
      <x:c r="K85" s="56"/>
      <x:c r="L85" s="56"/>
      <x:c r="M85" s="56"/>
      <x:c r="N85" s="50" t="str">
        <x:f>IF(O85="可比较",SUMPRODUCT(F85:M85,'试点设置'!$B$29:$I$29)*20,"")</x:f>
      </x:c>
      <x:c r="O85" s="13" t="str">
        <x:f>IF(COUNTA(E85:M85)+COUNTA(P85)=0,"待评分",IF(OR(COUNTIFS($A$7:$A$150,A85)&lt;&gt;1,COUNTIFS('运行记录'!$A$7:$A$150,A85)&lt;&gt;1),"ID重复或无效",IF(INDEX('运行记录'!$AE$7:$AE$150,MATCH(A85,'运行记录'!$A$7:$A$150,0))&lt;&gt;"纳入","运行记录未纳入",IF(OR(E85="",P85="",COUNT(F85:M85)&lt;&gt;8),"待补齐评分或证据",IF(OR(MIN(F85:M85)&lt;1,MAX(F85:M85)&gt;5,MOD(F85,1)&lt;&gt;0,MOD(G85,1)&lt;&gt;0,MOD(H85,1)&lt;&gt;0,MOD(I85,1)&lt;&gt;0,MOD(J85,1)&lt;&gt;0,MOD(K85,1)&lt;&gt;0,MOD(L85,1)&lt;&gt;0,MOD(M85,1)&lt;&gt;0),"分数须为1至5整数",IF(ABS('试点设置'!$C$31-1)&gt;0.000001,"权重非100%","可比较"))))))</x:f>
        <x:v>待评分</x:v>
      </x:c>
      <x:c r="P85" s="10"/>
      <x:c r="Q85" s="13" t="n">
        <x:f>IF(O85&lt;&gt;"可比较",0,INDEX('配对比较'!$K$7:$K$42,MATCH(B85,'配对比较'!$A$7:$A$42,0)))</x:f>
        <x:v>0</x:v>
      </x:c>
    </x:row>
    <x:row r="86" ht="25" customHeight="1">
      <x:c r="A86" s="13" t="str">
        <x:v>F07-R2-CA</x:v>
      </x:c>
      <x:c r="B86" s="13" t="str">
        <x:f>IF(COUNTIFS('运行记录'!$A$7:$A$150,A86)=1,INDEX('运行记录'!$B$7:$B$150,MATCH(A86,'运行记录'!$A$7:$A$150,0)),"")</x:f>
        <x:v>F07-R2</x:v>
      </x:c>
      <x:c r="C86" s="13" t="str">
        <x:f>IF(COUNTIFS('运行记录'!$A$7:$A$150,A86)=1,INDEX('运行记录'!$C$7:$C$150,MATCH(A86,'运行记录'!$A$7:$A$150,0)),"")</x:f>
        <x:v>F07</x:v>
      </x:c>
      <x:c r="D86" s="13" t="str">
        <x:f>IF(COUNTIFS('运行记录'!$A$7:$A$150,A86)=1,INDEX('运行记录'!$E$7:$E$150,MATCH(A86,'运行记录'!$A$7:$A$150,0)),"")</x:f>
        <x:v>CodeArts</x:v>
      </x:c>
      <x:c r="E86" s="10"/>
      <x:c r="F86" s="56"/>
      <x:c r="G86" s="56"/>
      <x:c r="H86" s="56"/>
      <x:c r="I86" s="56"/>
      <x:c r="J86" s="56"/>
      <x:c r="K86" s="56"/>
      <x:c r="L86" s="56"/>
      <x:c r="M86" s="56"/>
      <x:c r="N86" s="50" t="str">
        <x:f>IF(O86="可比较",SUMPRODUCT(F86:M86,'试点设置'!$B$29:$I$29)*20,"")</x:f>
      </x:c>
      <x:c r="O86" s="13" t="str">
        <x:f>IF(COUNTA(E86:M86)+COUNTA(P86)=0,"待评分",IF(OR(COUNTIFS($A$7:$A$150,A86)&lt;&gt;1,COUNTIFS('运行记录'!$A$7:$A$150,A86)&lt;&gt;1),"ID重复或无效",IF(INDEX('运行记录'!$AE$7:$AE$150,MATCH(A86,'运行记录'!$A$7:$A$150,0))&lt;&gt;"纳入","运行记录未纳入",IF(OR(E86="",P86="",COUNT(F86:M86)&lt;&gt;8),"待补齐评分或证据",IF(OR(MIN(F86:M86)&lt;1,MAX(F86:M86)&gt;5,MOD(F86,1)&lt;&gt;0,MOD(G86,1)&lt;&gt;0,MOD(H86,1)&lt;&gt;0,MOD(I86,1)&lt;&gt;0,MOD(J86,1)&lt;&gt;0,MOD(K86,1)&lt;&gt;0,MOD(L86,1)&lt;&gt;0,MOD(M86,1)&lt;&gt;0),"分数须为1至5整数",IF(ABS('试点设置'!$C$31-1)&gt;0.000001,"权重非100%","可比较"))))))</x:f>
        <x:v>待评分</x:v>
      </x:c>
      <x:c r="P86" s="10"/>
      <x:c r="Q86" s="13" t="n">
        <x:f>IF(O86&lt;&gt;"可比较",0,INDEX('配对比较'!$K$7:$K$42,MATCH(B86,'配对比较'!$A$7:$A$42,0)))</x:f>
        <x:v>0</x:v>
      </x:c>
    </x:row>
    <x:row r="87" ht="25" customHeight="1">
      <x:c r="A87" s="13" t="str">
        <x:v>F07-R3-CC</x:v>
      </x:c>
      <x:c r="B87" s="13" t="str">
        <x:f>IF(COUNTIFS('运行记录'!$A$7:$A$150,A87)=1,INDEX('运行记录'!$B$7:$B$150,MATCH(A87,'运行记录'!$A$7:$A$150,0)),"")</x:f>
        <x:v>F07-R3</x:v>
      </x:c>
      <x:c r="C87" s="13" t="str">
        <x:f>IF(COUNTIFS('运行记录'!$A$7:$A$150,A87)=1,INDEX('运行记录'!$C$7:$C$150,MATCH(A87,'运行记录'!$A$7:$A$150,0)),"")</x:f>
        <x:v>F07</x:v>
      </x:c>
      <x:c r="D87" s="13" t="str">
        <x:f>IF(COUNTIFS('运行记录'!$A$7:$A$150,A87)=1,INDEX('运行记录'!$E$7:$E$150,MATCH(A87,'运行记录'!$A$7:$A$150,0)),"")</x:f>
        <x:v>Claude Code</x:v>
      </x:c>
      <x:c r="E87" s="10"/>
      <x:c r="F87" s="56"/>
      <x:c r="G87" s="56"/>
      <x:c r="H87" s="56"/>
      <x:c r="I87" s="56"/>
      <x:c r="J87" s="56"/>
      <x:c r="K87" s="56"/>
      <x:c r="L87" s="56"/>
      <x:c r="M87" s="56"/>
      <x:c r="N87" s="50" t="str">
        <x:f>IF(O87="可比较",SUMPRODUCT(F87:M87,'试点设置'!$B$29:$I$29)*20,"")</x:f>
      </x:c>
      <x:c r="O87" s="13" t="str">
        <x:f>IF(COUNTA(E87:M87)+COUNTA(P87)=0,"待评分",IF(OR(COUNTIFS($A$7:$A$150,A87)&lt;&gt;1,COUNTIFS('运行记录'!$A$7:$A$150,A87)&lt;&gt;1),"ID重复或无效",IF(INDEX('运行记录'!$AE$7:$AE$150,MATCH(A87,'运行记录'!$A$7:$A$150,0))&lt;&gt;"纳入","运行记录未纳入",IF(OR(E87="",P87="",COUNT(F87:M87)&lt;&gt;8),"待补齐评分或证据",IF(OR(MIN(F87:M87)&lt;1,MAX(F87:M87)&gt;5,MOD(F87,1)&lt;&gt;0,MOD(G87,1)&lt;&gt;0,MOD(H87,1)&lt;&gt;0,MOD(I87,1)&lt;&gt;0,MOD(J87,1)&lt;&gt;0,MOD(K87,1)&lt;&gt;0,MOD(L87,1)&lt;&gt;0,MOD(M87,1)&lt;&gt;0),"分数须为1至5整数",IF(ABS('试点设置'!$C$31-1)&gt;0.000001,"权重非100%","可比较"))))))</x:f>
        <x:v>待评分</x:v>
      </x:c>
      <x:c r="P87" s="10"/>
      <x:c r="Q87" s="13" t="n">
        <x:f>IF(O87&lt;&gt;"可比较",0,INDEX('配对比较'!$K$7:$K$42,MATCH(B87,'配对比较'!$A$7:$A$42,0)))</x:f>
        <x:v>0</x:v>
      </x:c>
    </x:row>
    <x:row r="88" ht="25" customHeight="1">
      <x:c r="A88" s="13" t="str">
        <x:v>F07-R3-CX</x:v>
      </x:c>
      <x:c r="B88" s="13" t="str">
        <x:f>IF(COUNTIFS('运行记录'!$A$7:$A$150,A88)=1,INDEX('运行记录'!$B$7:$B$150,MATCH(A88,'运行记录'!$A$7:$A$150,0)),"")</x:f>
        <x:v>F07-R3</x:v>
      </x:c>
      <x:c r="C88" s="13" t="str">
        <x:f>IF(COUNTIFS('运行记录'!$A$7:$A$150,A88)=1,INDEX('运行记录'!$C$7:$C$150,MATCH(A88,'运行记录'!$A$7:$A$150,0)),"")</x:f>
        <x:v>F07</x:v>
      </x:c>
      <x:c r="D88" s="13" t="str">
        <x:f>IF(COUNTIFS('运行记录'!$A$7:$A$150,A88)=1,INDEX('运行记录'!$E$7:$E$150,MATCH(A88,'运行记录'!$A$7:$A$150,0)),"")</x:f>
        <x:v>Codex</x:v>
      </x:c>
      <x:c r="E88" s="10"/>
      <x:c r="F88" s="56"/>
      <x:c r="G88" s="56"/>
      <x:c r="H88" s="56"/>
      <x:c r="I88" s="56"/>
      <x:c r="J88" s="56"/>
      <x:c r="K88" s="56"/>
      <x:c r="L88" s="56"/>
      <x:c r="M88" s="56"/>
      <x:c r="N88" s="50" t="str">
        <x:f>IF(O88="可比较",SUMPRODUCT(F88:M88,'试点设置'!$B$29:$I$29)*20,"")</x:f>
      </x:c>
      <x:c r="O88" s="13" t="str">
        <x:f>IF(COUNTA(E88:M88)+COUNTA(P88)=0,"待评分",IF(OR(COUNTIFS($A$7:$A$150,A88)&lt;&gt;1,COUNTIFS('运行记录'!$A$7:$A$150,A88)&lt;&gt;1),"ID重复或无效",IF(INDEX('运行记录'!$AE$7:$AE$150,MATCH(A88,'运行记录'!$A$7:$A$150,0))&lt;&gt;"纳入","运行记录未纳入",IF(OR(E88="",P88="",COUNT(F88:M88)&lt;&gt;8),"待补齐评分或证据",IF(OR(MIN(F88:M88)&lt;1,MAX(F88:M88)&gt;5,MOD(F88,1)&lt;&gt;0,MOD(G88,1)&lt;&gt;0,MOD(H88,1)&lt;&gt;0,MOD(I88,1)&lt;&gt;0,MOD(J88,1)&lt;&gt;0,MOD(K88,1)&lt;&gt;0,MOD(L88,1)&lt;&gt;0,MOD(M88,1)&lt;&gt;0),"分数须为1至5整数",IF(ABS('试点设置'!$C$31-1)&gt;0.000001,"权重非100%","可比较"))))))</x:f>
        <x:v>待评分</x:v>
      </x:c>
      <x:c r="P88" s="10"/>
      <x:c r="Q88" s="13" t="n">
        <x:f>IF(O88&lt;&gt;"可比较",0,INDEX('配对比较'!$K$7:$K$42,MATCH(B88,'配对比较'!$A$7:$A$42,0)))</x:f>
        <x:v>0</x:v>
      </x:c>
    </x:row>
    <x:row r="89" ht="25" customHeight="1">
      <x:c r="A89" s="13" t="str">
        <x:v>F07-R3-TR</x:v>
      </x:c>
      <x:c r="B89" s="13" t="str">
        <x:f>IF(COUNTIFS('运行记录'!$A$7:$A$150,A89)=1,INDEX('运行记录'!$B$7:$B$150,MATCH(A89,'运行记录'!$A$7:$A$150,0)),"")</x:f>
        <x:v>F07-R3</x:v>
      </x:c>
      <x:c r="C89" s="13" t="str">
        <x:f>IF(COUNTIFS('运行记录'!$A$7:$A$150,A89)=1,INDEX('运行记录'!$C$7:$C$150,MATCH(A89,'运行记录'!$A$7:$A$150,0)),"")</x:f>
        <x:v>F07</x:v>
      </x:c>
      <x:c r="D89" s="13" t="str">
        <x:f>IF(COUNTIFS('运行记录'!$A$7:$A$150,A89)=1,INDEX('运行记录'!$E$7:$E$150,MATCH(A89,'运行记录'!$A$7:$A$150,0)),"")</x:f>
        <x:v>Trae</x:v>
      </x:c>
      <x:c r="E89" s="10"/>
      <x:c r="F89" s="56"/>
      <x:c r="G89" s="56"/>
      <x:c r="H89" s="56"/>
      <x:c r="I89" s="56"/>
      <x:c r="J89" s="56"/>
      <x:c r="K89" s="56"/>
      <x:c r="L89" s="56"/>
      <x:c r="M89" s="56"/>
      <x:c r="N89" s="50" t="str">
        <x:f>IF(O89="可比较",SUMPRODUCT(F89:M89,'试点设置'!$B$29:$I$29)*20,"")</x:f>
      </x:c>
      <x:c r="O89" s="13" t="str">
        <x:f>IF(COUNTA(E89:M89)+COUNTA(P89)=0,"待评分",IF(OR(COUNTIFS($A$7:$A$150,A89)&lt;&gt;1,COUNTIFS('运行记录'!$A$7:$A$150,A89)&lt;&gt;1),"ID重复或无效",IF(INDEX('运行记录'!$AE$7:$AE$150,MATCH(A89,'运行记录'!$A$7:$A$150,0))&lt;&gt;"纳入","运行记录未纳入",IF(OR(E89="",P89="",COUNT(F89:M89)&lt;&gt;8),"待补齐评分或证据",IF(OR(MIN(F89:M89)&lt;1,MAX(F89:M89)&gt;5,MOD(F89,1)&lt;&gt;0,MOD(G89,1)&lt;&gt;0,MOD(H89,1)&lt;&gt;0,MOD(I89,1)&lt;&gt;0,MOD(J89,1)&lt;&gt;0,MOD(K89,1)&lt;&gt;0,MOD(L89,1)&lt;&gt;0,MOD(M89,1)&lt;&gt;0),"分数须为1至5整数",IF(ABS('试点设置'!$C$31-1)&gt;0.000001,"权重非100%","可比较"))))))</x:f>
        <x:v>待评分</x:v>
      </x:c>
      <x:c r="P89" s="10"/>
      <x:c r="Q89" s="13" t="n">
        <x:f>IF(O89&lt;&gt;"可比较",0,INDEX('配对比较'!$K$7:$K$42,MATCH(B89,'配对比较'!$A$7:$A$42,0)))</x:f>
        <x:v>0</x:v>
      </x:c>
    </x:row>
    <x:row r="90" ht="25" customHeight="1">
      <x:c r="A90" s="13" t="str">
        <x:v>F07-R3-CA</x:v>
      </x:c>
      <x:c r="B90" s="13" t="str">
        <x:f>IF(COUNTIFS('运行记录'!$A$7:$A$150,A90)=1,INDEX('运行记录'!$B$7:$B$150,MATCH(A90,'运行记录'!$A$7:$A$150,0)),"")</x:f>
        <x:v>F07-R3</x:v>
      </x:c>
      <x:c r="C90" s="13" t="str">
        <x:f>IF(COUNTIFS('运行记录'!$A$7:$A$150,A90)=1,INDEX('运行记录'!$C$7:$C$150,MATCH(A90,'运行记录'!$A$7:$A$150,0)),"")</x:f>
        <x:v>F07</x:v>
      </x:c>
      <x:c r="D90" s="13" t="str">
        <x:f>IF(COUNTIFS('运行记录'!$A$7:$A$150,A90)=1,INDEX('运行记录'!$E$7:$E$150,MATCH(A90,'运行记录'!$A$7:$A$150,0)),"")</x:f>
        <x:v>CodeArts</x:v>
      </x:c>
      <x:c r="E90" s="10"/>
      <x:c r="F90" s="56"/>
      <x:c r="G90" s="56"/>
      <x:c r="H90" s="56"/>
      <x:c r="I90" s="56"/>
      <x:c r="J90" s="56"/>
      <x:c r="K90" s="56"/>
      <x:c r="L90" s="56"/>
      <x:c r="M90" s="56"/>
      <x:c r="N90" s="50" t="str">
        <x:f>IF(O90="可比较",SUMPRODUCT(F90:M90,'试点设置'!$B$29:$I$29)*20,"")</x:f>
      </x:c>
      <x:c r="O90" s="13" t="str">
        <x:f>IF(COUNTA(E90:M90)+COUNTA(P90)=0,"待评分",IF(OR(COUNTIFS($A$7:$A$150,A90)&lt;&gt;1,COUNTIFS('运行记录'!$A$7:$A$150,A90)&lt;&gt;1),"ID重复或无效",IF(INDEX('运行记录'!$AE$7:$AE$150,MATCH(A90,'运行记录'!$A$7:$A$150,0))&lt;&gt;"纳入","运行记录未纳入",IF(OR(E90="",P90="",COUNT(F90:M90)&lt;&gt;8),"待补齐评分或证据",IF(OR(MIN(F90:M90)&lt;1,MAX(F90:M90)&gt;5,MOD(F90,1)&lt;&gt;0,MOD(G90,1)&lt;&gt;0,MOD(H90,1)&lt;&gt;0,MOD(I90,1)&lt;&gt;0,MOD(J90,1)&lt;&gt;0,MOD(K90,1)&lt;&gt;0,MOD(L90,1)&lt;&gt;0,MOD(M90,1)&lt;&gt;0),"分数须为1至5整数",IF(ABS('试点设置'!$C$31-1)&gt;0.000001,"权重非100%","可比较"))))))</x:f>
        <x:v>待评分</x:v>
      </x:c>
      <x:c r="P90" s="10"/>
      <x:c r="Q90" s="13" t="n">
        <x:f>IF(O90&lt;&gt;"可比较",0,INDEX('配对比较'!$K$7:$K$42,MATCH(B90,'配对比较'!$A$7:$A$42,0)))</x:f>
        <x:v>0</x:v>
      </x:c>
    </x:row>
    <x:row r="91" ht="25" customHeight="1">
      <x:c r="A91" s="13" t="str">
        <x:v>F08-R1-CC</x:v>
      </x:c>
      <x:c r="B91" s="13" t="str">
        <x:f>IF(COUNTIFS('运行记录'!$A$7:$A$150,A91)=1,INDEX('运行记录'!$B$7:$B$150,MATCH(A91,'运行记录'!$A$7:$A$150,0)),"")</x:f>
        <x:v>F08-R1</x:v>
      </x:c>
      <x:c r="C91" s="13" t="str">
        <x:f>IF(COUNTIFS('运行记录'!$A$7:$A$150,A91)=1,INDEX('运行记录'!$C$7:$C$150,MATCH(A91,'运行记录'!$A$7:$A$150,0)),"")</x:f>
        <x:v>F08</x:v>
      </x:c>
      <x:c r="D91" s="13" t="str">
        <x:f>IF(COUNTIFS('运行记录'!$A$7:$A$150,A91)=1,INDEX('运行记录'!$E$7:$E$150,MATCH(A91,'运行记录'!$A$7:$A$150,0)),"")</x:f>
        <x:v>Claude Code</x:v>
      </x:c>
      <x:c r="E91" s="10"/>
      <x:c r="F91" s="56"/>
      <x:c r="G91" s="56"/>
      <x:c r="H91" s="56"/>
      <x:c r="I91" s="56"/>
      <x:c r="J91" s="56"/>
      <x:c r="K91" s="56"/>
      <x:c r="L91" s="56"/>
      <x:c r="M91" s="56"/>
      <x:c r="N91" s="50" t="str">
        <x:f>IF(O91="可比较",SUMPRODUCT(F91:M91,'试点设置'!$B$29:$I$29)*20,"")</x:f>
      </x:c>
      <x:c r="O91" s="13" t="str">
        <x:f>IF(COUNTA(E91:M91)+COUNTA(P91)=0,"待评分",IF(OR(COUNTIFS($A$7:$A$150,A91)&lt;&gt;1,COUNTIFS('运行记录'!$A$7:$A$150,A91)&lt;&gt;1),"ID重复或无效",IF(INDEX('运行记录'!$AE$7:$AE$150,MATCH(A91,'运行记录'!$A$7:$A$150,0))&lt;&gt;"纳入","运行记录未纳入",IF(OR(E91="",P91="",COUNT(F91:M91)&lt;&gt;8),"待补齐评分或证据",IF(OR(MIN(F91:M91)&lt;1,MAX(F91:M91)&gt;5,MOD(F91,1)&lt;&gt;0,MOD(G91,1)&lt;&gt;0,MOD(H91,1)&lt;&gt;0,MOD(I91,1)&lt;&gt;0,MOD(J91,1)&lt;&gt;0,MOD(K91,1)&lt;&gt;0,MOD(L91,1)&lt;&gt;0,MOD(M91,1)&lt;&gt;0),"分数须为1至5整数",IF(ABS('试点设置'!$C$31-1)&gt;0.000001,"权重非100%","可比较"))))))</x:f>
        <x:v>待评分</x:v>
      </x:c>
      <x:c r="P91" s="10"/>
      <x:c r="Q91" s="13" t="n">
        <x:f>IF(O91&lt;&gt;"可比较",0,INDEX('配对比较'!$K$7:$K$42,MATCH(B91,'配对比较'!$A$7:$A$42,0)))</x:f>
        <x:v>0</x:v>
      </x:c>
    </x:row>
    <x:row r="92" ht="25" customHeight="1">
      <x:c r="A92" s="13" t="str">
        <x:v>F08-R1-CX</x:v>
      </x:c>
      <x:c r="B92" s="13" t="str">
        <x:f>IF(COUNTIFS('运行记录'!$A$7:$A$150,A92)=1,INDEX('运行记录'!$B$7:$B$150,MATCH(A92,'运行记录'!$A$7:$A$150,0)),"")</x:f>
        <x:v>F08-R1</x:v>
      </x:c>
      <x:c r="C92" s="13" t="str">
        <x:f>IF(COUNTIFS('运行记录'!$A$7:$A$150,A92)=1,INDEX('运行记录'!$C$7:$C$150,MATCH(A92,'运行记录'!$A$7:$A$150,0)),"")</x:f>
        <x:v>F08</x:v>
      </x:c>
      <x:c r="D92" s="13" t="str">
        <x:f>IF(COUNTIFS('运行记录'!$A$7:$A$150,A92)=1,INDEX('运行记录'!$E$7:$E$150,MATCH(A92,'运行记录'!$A$7:$A$150,0)),"")</x:f>
        <x:v>Codex</x:v>
      </x:c>
      <x:c r="E92" s="10"/>
      <x:c r="F92" s="56"/>
      <x:c r="G92" s="56"/>
      <x:c r="H92" s="56"/>
      <x:c r="I92" s="56"/>
      <x:c r="J92" s="56"/>
      <x:c r="K92" s="56"/>
      <x:c r="L92" s="56"/>
      <x:c r="M92" s="56"/>
      <x:c r="N92" s="50" t="str">
        <x:f>IF(O92="可比较",SUMPRODUCT(F92:M92,'试点设置'!$B$29:$I$29)*20,"")</x:f>
      </x:c>
      <x:c r="O92" s="13" t="str">
        <x:f>IF(COUNTA(E92:M92)+COUNTA(P92)=0,"待评分",IF(OR(COUNTIFS($A$7:$A$150,A92)&lt;&gt;1,COUNTIFS('运行记录'!$A$7:$A$150,A92)&lt;&gt;1),"ID重复或无效",IF(INDEX('运行记录'!$AE$7:$AE$150,MATCH(A92,'运行记录'!$A$7:$A$150,0))&lt;&gt;"纳入","运行记录未纳入",IF(OR(E92="",P92="",COUNT(F92:M92)&lt;&gt;8),"待补齐评分或证据",IF(OR(MIN(F92:M92)&lt;1,MAX(F92:M92)&gt;5,MOD(F92,1)&lt;&gt;0,MOD(G92,1)&lt;&gt;0,MOD(H92,1)&lt;&gt;0,MOD(I92,1)&lt;&gt;0,MOD(J92,1)&lt;&gt;0,MOD(K92,1)&lt;&gt;0,MOD(L92,1)&lt;&gt;0,MOD(M92,1)&lt;&gt;0),"分数须为1至5整数",IF(ABS('试点设置'!$C$31-1)&gt;0.000001,"权重非100%","可比较"))))))</x:f>
        <x:v>待评分</x:v>
      </x:c>
      <x:c r="P92" s="10"/>
      <x:c r="Q92" s="13" t="n">
        <x:f>IF(O92&lt;&gt;"可比较",0,INDEX('配对比较'!$K$7:$K$42,MATCH(B92,'配对比较'!$A$7:$A$42,0)))</x:f>
        <x:v>0</x:v>
      </x:c>
    </x:row>
    <x:row r="93" ht="25" customHeight="1">
      <x:c r="A93" s="13" t="str">
        <x:v>F08-R1-TR</x:v>
      </x:c>
      <x:c r="B93" s="13" t="str">
        <x:f>IF(COUNTIFS('运行记录'!$A$7:$A$150,A93)=1,INDEX('运行记录'!$B$7:$B$150,MATCH(A93,'运行记录'!$A$7:$A$150,0)),"")</x:f>
        <x:v>F08-R1</x:v>
      </x:c>
      <x:c r="C93" s="13" t="str">
        <x:f>IF(COUNTIFS('运行记录'!$A$7:$A$150,A93)=1,INDEX('运行记录'!$C$7:$C$150,MATCH(A93,'运行记录'!$A$7:$A$150,0)),"")</x:f>
        <x:v>F08</x:v>
      </x:c>
      <x:c r="D93" s="13" t="str">
        <x:f>IF(COUNTIFS('运行记录'!$A$7:$A$150,A93)=1,INDEX('运行记录'!$E$7:$E$150,MATCH(A93,'运行记录'!$A$7:$A$150,0)),"")</x:f>
        <x:v>Trae</x:v>
      </x:c>
      <x:c r="E93" s="10"/>
      <x:c r="F93" s="56"/>
      <x:c r="G93" s="56"/>
      <x:c r="H93" s="56"/>
      <x:c r="I93" s="56"/>
      <x:c r="J93" s="56"/>
      <x:c r="K93" s="56"/>
      <x:c r="L93" s="56"/>
      <x:c r="M93" s="56"/>
      <x:c r="N93" s="50" t="str">
        <x:f>IF(O93="可比较",SUMPRODUCT(F93:M93,'试点设置'!$B$29:$I$29)*20,"")</x:f>
      </x:c>
      <x:c r="O93" s="13" t="str">
        <x:f>IF(COUNTA(E93:M93)+COUNTA(P93)=0,"待评分",IF(OR(COUNTIFS($A$7:$A$150,A93)&lt;&gt;1,COUNTIFS('运行记录'!$A$7:$A$150,A93)&lt;&gt;1),"ID重复或无效",IF(INDEX('运行记录'!$AE$7:$AE$150,MATCH(A93,'运行记录'!$A$7:$A$150,0))&lt;&gt;"纳入","运行记录未纳入",IF(OR(E93="",P93="",COUNT(F93:M93)&lt;&gt;8),"待补齐评分或证据",IF(OR(MIN(F93:M93)&lt;1,MAX(F93:M93)&gt;5,MOD(F93,1)&lt;&gt;0,MOD(G93,1)&lt;&gt;0,MOD(H93,1)&lt;&gt;0,MOD(I93,1)&lt;&gt;0,MOD(J93,1)&lt;&gt;0,MOD(K93,1)&lt;&gt;0,MOD(L93,1)&lt;&gt;0,MOD(M93,1)&lt;&gt;0),"分数须为1至5整数",IF(ABS('试点设置'!$C$31-1)&gt;0.000001,"权重非100%","可比较"))))))</x:f>
        <x:v>待评分</x:v>
      </x:c>
      <x:c r="P93" s="10"/>
      <x:c r="Q93" s="13" t="n">
        <x:f>IF(O93&lt;&gt;"可比较",0,INDEX('配对比较'!$K$7:$K$42,MATCH(B93,'配对比较'!$A$7:$A$42,0)))</x:f>
        <x:v>0</x:v>
      </x:c>
    </x:row>
    <x:row r="94" ht="25" customHeight="1">
      <x:c r="A94" s="13" t="str">
        <x:v>F08-R1-CA</x:v>
      </x:c>
      <x:c r="B94" s="13" t="str">
        <x:f>IF(COUNTIFS('运行记录'!$A$7:$A$150,A94)=1,INDEX('运行记录'!$B$7:$B$150,MATCH(A94,'运行记录'!$A$7:$A$150,0)),"")</x:f>
        <x:v>F08-R1</x:v>
      </x:c>
      <x:c r="C94" s="13" t="str">
        <x:f>IF(COUNTIFS('运行记录'!$A$7:$A$150,A94)=1,INDEX('运行记录'!$C$7:$C$150,MATCH(A94,'运行记录'!$A$7:$A$150,0)),"")</x:f>
        <x:v>F08</x:v>
      </x:c>
      <x:c r="D94" s="13" t="str">
        <x:f>IF(COUNTIFS('运行记录'!$A$7:$A$150,A94)=1,INDEX('运行记录'!$E$7:$E$150,MATCH(A94,'运行记录'!$A$7:$A$150,0)),"")</x:f>
        <x:v>CodeArts</x:v>
      </x:c>
      <x:c r="E94" s="10"/>
      <x:c r="F94" s="56"/>
      <x:c r="G94" s="56"/>
      <x:c r="H94" s="56"/>
      <x:c r="I94" s="56"/>
      <x:c r="J94" s="56"/>
      <x:c r="K94" s="56"/>
      <x:c r="L94" s="56"/>
      <x:c r="M94" s="56"/>
      <x:c r="N94" s="50" t="str">
        <x:f>IF(O94="可比较",SUMPRODUCT(F94:M94,'试点设置'!$B$29:$I$29)*20,"")</x:f>
      </x:c>
      <x:c r="O94" s="13" t="str">
        <x:f>IF(COUNTA(E94:M94)+COUNTA(P94)=0,"待评分",IF(OR(COUNTIFS($A$7:$A$150,A94)&lt;&gt;1,COUNTIFS('运行记录'!$A$7:$A$150,A94)&lt;&gt;1),"ID重复或无效",IF(INDEX('运行记录'!$AE$7:$AE$150,MATCH(A94,'运行记录'!$A$7:$A$150,0))&lt;&gt;"纳入","运行记录未纳入",IF(OR(E94="",P94="",COUNT(F94:M94)&lt;&gt;8),"待补齐评分或证据",IF(OR(MIN(F94:M94)&lt;1,MAX(F94:M94)&gt;5,MOD(F94,1)&lt;&gt;0,MOD(G94,1)&lt;&gt;0,MOD(H94,1)&lt;&gt;0,MOD(I94,1)&lt;&gt;0,MOD(J94,1)&lt;&gt;0,MOD(K94,1)&lt;&gt;0,MOD(L94,1)&lt;&gt;0,MOD(M94,1)&lt;&gt;0),"分数须为1至5整数",IF(ABS('试点设置'!$C$31-1)&gt;0.000001,"权重非100%","可比较"))))))</x:f>
        <x:v>待评分</x:v>
      </x:c>
      <x:c r="P94" s="10"/>
      <x:c r="Q94" s="13" t="n">
        <x:f>IF(O94&lt;&gt;"可比较",0,INDEX('配对比较'!$K$7:$K$42,MATCH(B94,'配对比较'!$A$7:$A$42,0)))</x:f>
        <x:v>0</x:v>
      </x:c>
    </x:row>
    <x:row r="95" ht="25" customHeight="1">
      <x:c r="A95" s="13" t="str">
        <x:v>F08-R2-CC</x:v>
      </x:c>
      <x:c r="B95" s="13" t="str">
        <x:f>IF(COUNTIFS('运行记录'!$A$7:$A$150,A95)=1,INDEX('运行记录'!$B$7:$B$150,MATCH(A95,'运行记录'!$A$7:$A$150,0)),"")</x:f>
        <x:v>F08-R2</x:v>
      </x:c>
      <x:c r="C95" s="13" t="str">
        <x:f>IF(COUNTIFS('运行记录'!$A$7:$A$150,A95)=1,INDEX('运行记录'!$C$7:$C$150,MATCH(A95,'运行记录'!$A$7:$A$150,0)),"")</x:f>
        <x:v>F08</x:v>
      </x:c>
      <x:c r="D95" s="13" t="str">
        <x:f>IF(COUNTIFS('运行记录'!$A$7:$A$150,A95)=1,INDEX('运行记录'!$E$7:$E$150,MATCH(A95,'运行记录'!$A$7:$A$150,0)),"")</x:f>
        <x:v>Claude Code</x:v>
      </x:c>
      <x:c r="E95" s="10"/>
      <x:c r="F95" s="56"/>
      <x:c r="G95" s="56"/>
      <x:c r="H95" s="56"/>
      <x:c r="I95" s="56"/>
      <x:c r="J95" s="56"/>
      <x:c r="K95" s="56"/>
      <x:c r="L95" s="56"/>
      <x:c r="M95" s="56"/>
      <x:c r="N95" s="50" t="str">
        <x:f>IF(O95="可比较",SUMPRODUCT(F95:M95,'试点设置'!$B$29:$I$29)*20,"")</x:f>
      </x:c>
      <x:c r="O95" s="13" t="str">
        <x:f>IF(COUNTA(E95:M95)+COUNTA(P95)=0,"待评分",IF(OR(COUNTIFS($A$7:$A$150,A95)&lt;&gt;1,COUNTIFS('运行记录'!$A$7:$A$150,A95)&lt;&gt;1),"ID重复或无效",IF(INDEX('运行记录'!$AE$7:$AE$150,MATCH(A95,'运行记录'!$A$7:$A$150,0))&lt;&gt;"纳入","运行记录未纳入",IF(OR(E95="",P95="",COUNT(F95:M95)&lt;&gt;8),"待补齐评分或证据",IF(OR(MIN(F95:M95)&lt;1,MAX(F95:M95)&gt;5,MOD(F95,1)&lt;&gt;0,MOD(G95,1)&lt;&gt;0,MOD(H95,1)&lt;&gt;0,MOD(I95,1)&lt;&gt;0,MOD(J95,1)&lt;&gt;0,MOD(K95,1)&lt;&gt;0,MOD(L95,1)&lt;&gt;0,MOD(M95,1)&lt;&gt;0),"分数须为1至5整数",IF(ABS('试点设置'!$C$31-1)&gt;0.000001,"权重非100%","可比较"))))))</x:f>
        <x:v>待评分</x:v>
      </x:c>
      <x:c r="P95" s="10"/>
      <x:c r="Q95" s="13" t="n">
        <x:f>IF(O95&lt;&gt;"可比较",0,INDEX('配对比较'!$K$7:$K$42,MATCH(B95,'配对比较'!$A$7:$A$42,0)))</x:f>
        <x:v>0</x:v>
      </x:c>
    </x:row>
    <x:row r="96" ht="25" customHeight="1">
      <x:c r="A96" s="13" t="str">
        <x:v>F08-R2-CX</x:v>
      </x:c>
      <x:c r="B96" s="13" t="str">
        <x:f>IF(COUNTIFS('运行记录'!$A$7:$A$150,A96)=1,INDEX('运行记录'!$B$7:$B$150,MATCH(A96,'运行记录'!$A$7:$A$150,0)),"")</x:f>
        <x:v>F08-R2</x:v>
      </x:c>
      <x:c r="C96" s="13" t="str">
        <x:f>IF(COUNTIFS('运行记录'!$A$7:$A$150,A96)=1,INDEX('运行记录'!$C$7:$C$150,MATCH(A96,'运行记录'!$A$7:$A$150,0)),"")</x:f>
        <x:v>F08</x:v>
      </x:c>
      <x:c r="D96" s="13" t="str">
        <x:f>IF(COUNTIFS('运行记录'!$A$7:$A$150,A96)=1,INDEX('运行记录'!$E$7:$E$150,MATCH(A96,'运行记录'!$A$7:$A$150,0)),"")</x:f>
        <x:v>Codex</x:v>
      </x:c>
      <x:c r="E96" s="10"/>
      <x:c r="F96" s="56"/>
      <x:c r="G96" s="56"/>
      <x:c r="H96" s="56"/>
      <x:c r="I96" s="56"/>
      <x:c r="J96" s="56"/>
      <x:c r="K96" s="56"/>
      <x:c r="L96" s="56"/>
      <x:c r="M96" s="56"/>
      <x:c r="N96" s="50" t="str">
        <x:f>IF(O96="可比较",SUMPRODUCT(F96:M96,'试点设置'!$B$29:$I$29)*20,"")</x:f>
      </x:c>
      <x:c r="O96" s="13" t="str">
        <x:f>IF(COUNTA(E96:M96)+COUNTA(P96)=0,"待评分",IF(OR(COUNTIFS($A$7:$A$150,A96)&lt;&gt;1,COUNTIFS('运行记录'!$A$7:$A$150,A96)&lt;&gt;1),"ID重复或无效",IF(INDEX('运行记录'!$AE$7:$AE$150,MATCH(A96,'运行记录'!$A$7:$A$150,0))&lt;&gt;"纳入","运行记录未纳入",IF(OR(E96="",P96="",COUNT(F96:M96)&lt;&gt;8),"待补齐评分或证据",IF(OR(MIN(F96:M96)&lt;1,MAX(F96:M96)&gt;5,MOD(F96,1)&lt;&gt;0,MOD(G96,1)&lt;&gt;0,MOD(H96,1)&lt;&gt;0,MOD(I96,1)&lt;&gt;0,MOD(J96,1)&lt;&gt;0,MOD(K96,1)&lt;&gt;0,MOD(L96,1)&lt;&gt;0,MOD(M96,1)&lt;&gt;0),"分数须为1至5整数",IF(ABS('试点设置'!$C$31-1)&gt;0.000001,"权重非100%","可比较"))))))</x:f>
        <x:v>待评分</x:v>
      </x:c>
      <x:c r="P96" s="10"/>
      <x:c r="Q96" s="13" t="n">
        <x:f>IF(O96&lt;&gt;"可比较",0,INDEX('配对比较'!$K$7:$K$42,MATCH(B96,'配对比较'!$A$7:$A$42,0)))</x:f>
        <x:v>0</x:v>
      </x:c>
    </x:row>
    <x:row r="97" ht="25" customHeight="1">
      <x:c r="A97" s="13" t="str">
        <x:v>F08-R2-TR</x:v>
      </x:c>
      <x:c r="B97" s="13" t="str">
        <x:f>IF(COUNTIFS('运行记录'!$A$7:$A$150,A97)=1,INDEX('运行记录'!$B$7:$B$150,MATCH(A97,'运行记录'!$A$7:$A$150,0)),"")</x:f>
        <x:v>F08-R2</x:v>
      </x:c>
      <x:c r="C97" s="13" t="str">
        <x:f>IF(COUNTIFS('运行记录'!$A$7:$A$150,A97)=1,INDEX('运行记录'!$C$7:$C$150,MATCH(A97,'运行记录'!$A$7:$A$150,0)),"")</x:f>
        <x:v>F08</x:v>
      </x:c>
      <x:c r="D97" s="13" t="str">
        <x:f>IF(COUNTIFS('运行记录'!$A$7:$A$150,A97)=1,INDEX('运行记录'!$E$7:$E$150,MATCH(A97,'运行记录'!$A$7:$A$150,0)),"")</x:f>
        <x:v>Trae</x:v>
      </x:c>
      <x:c r="E97" s="10"/>
      <x:c r="F97" s="56"/>
      <x:c r="G97" s="56"/>
      <x:c r="H97" s="56"/>
      <x:c r="I97" s="56"/>
      <x:c r="J97" s="56"/>
      <x:c r="K97" s="56"/>
      <x:c r="L97" s="56"/>
      <x:c r="M97" s="56"/>
      <x:c r="N97" s="50" t="str">
        <x:f>IF(O97="可比较",SUMPRODUCT(F97:M97,'试点设置'!$B$29:$I$29)*20,"")</x:f>
      </x:c>
      <x:c r="O97" s="13" t="str">
        <x:f>IF(COUNTA(E97:M97)+COUNTA(P97)=0,"待评分",IF(OR(COUNTIFS($A$7:$A$150,A97)&lt;&gt;1,COUNTIFS('运行记录'!$A$7:$A$150,A97)&lt;&gt;1),"ID重复或无效",IF(INDEX('运行记录'!$AE$7:$AE$150,MATCH(A97,'运行记录'!$A$7:$A$150,0))&lt;&gt;"纳入","运行记录未纳入",IF(OR(E97="",P97="",COUNT(F97:M97)&lt;&gt;8),"待补齐评分或证据",IF(OR(MIN(F97:M97)&lt;1,MAX(F97:M97)&gt;5,MOD(F97,1)&lt;&gt;0,MOD(G97,1)&lt;&gt;0,MOD(H97,1)&lt;&gt;0,MOD(I97,1)&lt;&gt;0,MOD(J97,1)&lt;&gt;0,MOD(K97,1)&lt;&gt;0,MOD(L97,1)&lt;&gt;0,MOD(M97,1)&lt;&gt;0),"分数须为1至5整数",IF(ABS('试点设置'!$C$31-1)&gt;0.000001,"权重非100%","可比较"))))))</x:f>
        <x:v>待评分</x:v>
      </x:c>
      <x:c r="P97" s="10"/>
      <x:c r="Q97" s="13" t="n">
        <x:f>IF(O97&lt;&gt;"可比较",0,INDEX('配对比较'!$K$7:$K$42,MATCH(B97,'配对比较'!$A$7:$A$42,0)))</x:f>
        <x:v>0</x:v>
      </x:c>
    </x:row>
    <x:row r="98" ht="25" customHeight="1">
      <x:c r="A98" s="13" t="str">
        <x:v>F08-R2-CA</x:v>
      </x:c>
      <x:c r="B98" s="13" t="str">
        <x:f>IF(COUNTIFS('运行记录'!$A$7:$A$150,A98)=1,INDEX('运行记录'!$B$7:$B$150,MATCH(A98,'运行记录'!$A$7:$A$150,0)),"")</x:f>
        <x:v>F08-R2</x:v>
      </x:c>
      <x:c r="C98" s="13" t="str">
        <x:f>IF(COUNTIFS('运行记录'!$A$7:$A$150,A98)=1,INDEX('运行记录'!$C$7:$C$150,MATCH(A98,'运行记录'!$A$7:$A$150,0)),"")</x:f>
        <x:v>F08</x:v>
      </x:c>
      <x:c r="D98" s="13" t="str">
        <x:f>IF(COUNTIFS('运行记录'!$A$7:$A$150,A98)=1,INDEX('运行记录'!$E$7:$E$150,MATCH(A98,'运行记录'!$A$7:$A$150,0)),"")</x:f>
        <x:v>CodeArts</x:v>
      </x:c>
      <x:c r="E98" s="10"/>
      <x:c r="F98" s="56"/>
      <x:c r="G98" s="56"/>
      <x:c r="H98" s="56"/>
      <x:c r="I98" s="56"/>
      <x:c r="J98" s="56"/>
      <x:c r="K98" s="56"/>
      <x:c r="L98" s="56"/>
      <x:c r="M98" s="56"/>
      <x:c r="N98" s="50" t="str">
        <x:f>IF(O98="可比较",SUMPRODUCT(F98:M98,'试点设置'!$B$29:$I$29)*20,"")</x:f>
      </x:c>
      <x:c r="O98" s="13" t="str">
        <x:f>IF(COUNTA(E98:M98)+COUNTA(P98)=0,"待评分",IF(OR(COUNTIFS($A$7:$A$150,A98)&lt;&gt;1,COUNTIFS('运行记录'!$A$7:$A$150,A98)&lt;&gt;1),"ID重复或无效",IF(INDEX('运行记录'!$AE$7:$AE$150,MATCH(A98,'运行记录'!$A$7:$A$150,0))&lt;&gt;"纳入","运行记录未纳入",IF(OR(E98="",P98="",COUNT(F98:M98)&lt;&gt;8),"待补齐评分或证据",IF(OR(MIN(F98:M98)&lt;1,MAX(F98:M98)&gt;5,MOD(F98,1)&lt;&gt;0,MOD(G98,1)&lt;&gt;0,MOD(H98,1)&lt;&gt;0,MOD(I98,1)&lt;&gt;0,MOD(J98,1)&lt;&gt;0,MOD(K98,1)&lt;&gt;0,MOD(L98,1)&lt;&gt;0,MOD(M98,1)&lt;&gt;0),"分数须为1至5整数",IF(ABS('试点设置'!$C$31-1)&gt;0.000001,"权重非100%","可比较"))))))</x:f>
        <x:v>待评分</x:v>
      </x:c>
      <x:c r="P98" s="10"/>
      <x:c r="Q98" s="13" t="n">
        <x:f>IF(O98&lt;&gt;"可比较",0,INDEX('配对比较'!$K$7:$K$42,MATCH(B98,'配对比较'!$A$7:$A$42,0)))</x:f>
        <x:v>0</x:v>
      </x:c>
    </x:row>
    <x:row r="99" ht="25" customHeight="1">
      <x:c r="A99" s="13" t="str">
        <x:v>F08-R3-CC</x:v>
      </x:c>
      <x:c r="B99" s="13" t="str">
        <x:f>IF(COUNTIFS('运行记录'!$A$7:$A$150,A99)=1,INDEX('运行记录'!$B$7:$B$150,MATCH(A99,'运行记录'!$A$7:$A$150,0)),"")</x:f>
        <x:v>F08-R3</x:v>
      </x:c>
      <x:c r="C99" s="13" t="str">
        <x:f>IF(COUNTIFS('运行记录'!$A$7:$A$150,A99)=1,INDEX('运行记录'!$C$7:$C$150,MATCH(A99,'运行记录'!$A$7:$A$150,0)),"")</x:f>
        <x:v>F08</x:v>
      </x:c>
      <x:c r="D99" s="13" t="str">
        <x:f>IF(COUNTIFS('运行记录'!$A$7:$A$150,A99)=1,INDEX('运行记录'!$E$7:$E$150,MATCH(A99,'运行记录'!$A$7:$A$150,0)),"")</x:f>
        <x:v>Claude Code</x:v>
      </x:c>
      <x:c r="E99" s="10"/>
      <x:c r="F99" s="56"/>
      <x:c r="G99" s="56"/>
      <x:c r="H99" s="56"/>
      <x:c r="I99" s="56"/>
      <x:c r="J99" s="56"/>
      <x:c r="K99" s="56"/>
      <x:c r="L99" s="56"/>
      <x:c r="M99" s="56"/>
      <x:c r="N99" s="50" t="str">
        <x:f>IF(O99="可比较",SUMPRODUCT(F99:M99,'试点设置'!$B$29:$I$29)*20,"")</x:f>
      </x:c>
      <x:c r="O99" s="13" t="str">
        <x:f>IF(COUNTA(E99:M99)+COUNTA(P99)=0,"待评分",IF(OR(COUNTIFS($A$7:$A$150,A99)&lt;&gt;1,COUNTIFS('运行记录'!$A$7:$A$150,A99)&lt;&gt;1),"ID重复或无效",IF(INDEX('运行记录'!$AE$7:$AE$150,MATCH(A99,'运行记录'!$A$7:$A$150,0))&lt;&gt;"纳入","运行记录未纳入",IF(OR(E99="",P99="",COUNT(F99:M99)&lt;&gt;8),"待补齐评分或证据",IF(OR(MIN(F99:M99)&lt;1,MAX(F99:M99)&gt;5,MOD(F99,1)&lt;&gt;0,MOD(G99,1)&lt;&gt;0,MOD(H99,1)&lt;&gt;0,MOD(I99,1)&lt;&gt;0,MOD(J99,1)&lt;&gt;0,MOD(K99,1)&lt;&gt;0,MOD(L99,1)&lt;&gt;0,MOD(M99,1)&lt;&gt;0),"分数须为1至5整数",IF(ABS('试点设置'!$C$31-1)&gt;0.000001,"权重非100%","可比较"))))))</x:f>
        <x:v>待评分</x:v>
      </x:c>
      <x:c r="P99" s="10"/>
      <x:c r="Q99" s="13" t="n">
        <x:f>IF(O99&lt;&gt;"可比较",0,INDEX('配对比较'!$K$7:$K$42,MATCH(B99,'配对比较'!$A$7:$A$42,0)))</x:f>
        <x:v>0</x:v>
      </x:c>
    </x:row>
    <x:row r="100" ht="25" customHeight="1">
      <x:c r="A100" s="13" t="str">
        <x:v>F08-R3-CX</x:v>
      </x:c>
      <x:c r="B100" s="13" t="str">
        <x:f>IF(COUNTIFS('运行记录'!$A$7:$A$150,A100)=1,INDEX('运行记录'!$B$7:$B$150,MATCH(A100,'运行记录'!$A$7:$A$150,0)),"")</x:f>
        <x:v>F08-R3</x:v>
      </x:c>
      <x:c r="C100" s="13" t="str">
        <x:f>IF(COUNTIFS('运行记录'!$A$7:$A$150,A100)=1,INDEX('运行记录'!$C$7:$C$150,MATCH(A100,'运行记录'!$A$7:$A$150,0)),"")</x:f>
        <x:v>F08</x:v>
      </x:c>
      <x:c r="D100" s="13" t="str">
        <x:f>IF(COUNTIFS('运行记录'!$A$7:$A$150,A100)=1,INDEX('运行记录'!$E$7:$E$150,MATCH(A100,'运行记录'!$A$7:$A$150,0)),"")</x:f>
        <x:v>Codex</x:v>
      </x:c>
      <x:c r="E100" s="10"/>
      <x:c r="F100" s="56"/>
      <x:c r="G100" s="56"/>
      <x:c r="H100" s="56"/>
      <x:c r="I100" s="56"/>
      <x:c r="J100" s="56"/>
      <x:c r="K100" s="56"/>
      <x:c r="L100" s="56"/>
      <x:c r="M100" s="56"/>
      <x:c r="N100" s="50" t="str">
        <x:f>IF(O100="可比较",SUMPRODUCT(F100:M100,'试点设置'!$B$29:$I$29)*20,"")</x:f>
      </x:c>
      <x:c r="O100" s="13" t="str">
        <x:f>IF(COUNTA(E100:M100)+COUNTA(P100)=0,"待评分",IF(OR(COUNTIFS($A$7:$A$150,A100)&lt;&gt;1,COUNTIFS('运行记录'!$A$7:$A$150,A100)&lt;&gt;1),"ID重复或无效",IF(INDEX('运行记录'!$AE$7:$AE$150,MATCH(A100,'运行记录'!$A$7:$A$150,0))&lt;&gt;"纳入","运行记录未纳入",IF(OR(E100="",P100="",COUNT(F100:M100)&lt;&gt;8),"待补齐评分或证据",IF(OR(MIN(F100:M100)&lt;1,MAX(F100:M100)&gt;5,MOD(F100,1)&lt;&gt;0,MOD(G100,1)&lt;&gt;0,MOD(H100,1)&lt;&gt;0,MOD(I100,1)&lt;&gt;0,MOD(J100,1)&lt;&gt;0,MOD(K100,1)&lt;&gt;0,MOD(L100,1)&lt;&gt;0,MOD(M100,1)&lt;&gt;0),"分数须为1至5整数",IF(ABS('试点设置'!$C$31-1)&gt;0.000001,"权重非100%","可比较"))))))</x:f>
        <x:v>待评分</x:v>
      </x:c>
      <x:c r="P100" s="10"/>
      <x:c r="Q100" s="13" t="n">
        <x:f>IF(O100&lt;&gt;"可比较",0,INDEX('配对比较'!$K$7:$K$42,MATCH(B100,'配对比较'!$A$7:$A$42,0)))</x:f>
        <x:v>0</x:v>
      </x:c>
    </x:row>
    <x:row r="101" ht="25" customHeight="1">
      <x:c r="A101" s="13" t="str">
        <x:v>F08-R3-TR</x:v>
      </x:c>
      <x:c r="B101" s="13" t="str">
        <x:f>IF(COUNTIFS('运行记录'!$A$7:$A$150,A101)=1,INDEX('运行记录'!$B$7:$B$150,MATCH(A101,'运行记录'!$A$7:$A$150,0)),"")</x:f>
        <x:v>F08-R3</x:v>
      </x:c>
      <x:c r="C101" s="13" t="str">
        <x:f>IF(COUNTIFS('运行记录'!$A$7:$A$150,A101)=1,INDEX('运行记录'!$C$7:$C$150,MATCH(A101,'运行记录'!$A$7:$A$150,0)),"")</x:f>
        <x:v>F08</x:v>
      </x:c>
      <x:c r="D101" s="13" t="str">
        <x:f>IF(COUNTIFS('运行记录'!$A$7:$A$150,A101)=1,INDEX('运行记录'!$E$7:$E$150,MATCH(A101,'运行记录'!$A$7:$A$150,0)),"")</x:f>
        <x:v>Trae</x:v>
      </x:c>
      <x:c r="E101" s="10"/>
      <x:c r="F101" s="56"/>
      <x:c r="G101" s="56"/>
      <x:c r="H101" s="56"/>
      <x:c r="I101" s="56"/>
      <x:c r="J101" s="56"/>
      <x:c r="K101" s="56"/>
      <x:c r="L101" s="56"/>
      <x:c r="M101" s="56"/>
      <x:c r="N101" s="50" t="str">
        <x:f>IF(O101="可比较",SUMPRODUCT(F101:M101,'试点设置'!$B$29:$I$29)*20,"")</x:f>
      </x:c>
      <x:c r="O101" s="13" t="str">
        <x:f>IF(COUNTA(E101:M101)+COUNTA(P101)=0,"待评分",IF(OR(COUNTIFS($A$7:$A$150,A101)&lt;&gt;1,COUNTIFS('运行记录'!$A$7:$A$150,A101)&lt;&gt;1),"ID重复或无效",IF(INDEX('运行记录'!$AE$7:$AE$150,MATCH(A101,'运行记录'!$A$7:$A$150,0))&lt;&gt;"纳入","运行记录未纳入",IF(OR(E101="",P101="",COUNT(F101:M101)&lt;&gt;8),"待补齐评分或证据",IF(OR(MIN(F101:M101)&lt;1,MAX(F101:M101)&gt;5,MOD(F101,1)&lt;&gt;0,MOD(G101,1)&lt;&gt;0,MOD(H101,1)&lt;&gt;0,MOD(I101,1)&lt;&gt;0,MOD(J101,1)&lt;&gt;0,MOD(K101,1)&lt;&gt;0,MOD(L101,1)&lt;&gt;0,MOD(M101,1)&lt;&gt;0),"分数须为1至5整数",IF(ABS('试点设置'!$C$31-1)&gt;0.000001,"权重非100%","可比较"))))))</x:f>
        <x:v>待评分</x:v>
      </x:c>
      <x:c r="P101" s="10"/>
      <x:c r="Q101" s="13" t="n">
        <x:f>IF(O101&lt;&gt;"可比较",0,INDEX('配对比较'!$K$7:$K$42,MATCH(B101,'配对比较'!$A$7:$A$42,0)))</x:f>
        <x:v>0</x:v>
      </x:c>
    </x:row>
    <x:row r="102" ht="25" customHeight="1">
      <x:c r="A102" s="13" t="str">
        <x:v>F08-R3-CA</x:v>
      </x:c>
      <x:c r="B102" s="13" t="str">
        <x:f>IF(COUNTIFS('运行记录'!$A$7:$A$150,A102)=1,INDEX('运行记录'!$B$7:$B$150,MATCH(A102,'运行记录'!$A$7:$A$150,0)),"")</x:f>
        <x:v>F08-R3</x:v>
      </x:c>
      <x:c r="C102" s="13" t="str">
        <x:f>IF(COUNTIFS('运行记录'!$A$7:$A$150,A102)=1,INDEX('运行记录'!$C$7:$C$150,MATCH(A102,'运行记录'!$A$7:$A$150,0)),"")</x:f>
        <x:v>F08</x:v>
      </x:c>
      <x:c r="D102" s="13" t="str">
        <x:f>IF(COUNTIFS('运行记录'!$A$7:$A$150,A102)=1,INDEX('运行记录'!$E$7:$E$150,MATCH(A102,'运行记录'!$A$7:$A$150,0)),"")</x:f>
        <x:v>CodeArts</x:v>
      </x:c>
      <x:c r="E102" s="10"/>
      <x:c r="F102" s="56"/>
      <x:c r="G102" s="56"/>
      <x:c r="H102" s="56"/>
      <x:c r="I102" s="56"/>
      <x:c r="J102" s="56"/>
      <x:c r="K102" s="56"/>
      <x:c r="L102" s="56"/>
      <x:c r="M102" s="56"/>
      <x:c r="N102" s="50" t="str">
        <x:f>IF(O102="可比较",SUMPRODUCT(F102:M102,'试点设置'!$B$29:$I$29)*20,"")</x:f>
      </x:c>
      <x:c r="O102" s="13" t="str">
        <x:f>IF(COUNTA(E102:M102)+COUNTA(P102)=0,"待评分",IF(OR(COUNTIFS($A$7:$A$150,A102)&lt;&gt;1,COUNTIFS('运行记录'!$A$7:$A$150,A102)&lt;&gt;1),"ID重复或无效",IF(INDEX('运行记录'!$AE$7:$AE$150,MATCH(A102,'运行记录'!$A$7:$A$150,0))&lt;&gt;"纳入","运行记录未纳入",IF(OR(E102="",P102="",COUNT(F102:M102)&lt;&gt;8),"待补齐评分或证据",IF(OR(MIN(F102:M102)&lt;1,MAX(F102:M102)&gt;5,MOD(F102,1)&lt;&gt;0,MOD(G102,1)&lt;&gt;0,MOD(H102,1)&lt;&gt;0,MOD(I102,1)&lt;&gt;0,MOD(J102,1)&lt;&gt;0,MOD(K102,1)&lt;&gt;0,MOD(L102,1)&lt;&gt;0,MOD(M102,1)&lt;&gt;0),"分数须为1至5整数",IF(ABS('试点设置'!$C$31-1)&gt;0.000001,"权重非100%","可比较"))))))</x:f>
        <x:v>待评分</x:v>
      </x:c>
      <x:c r="P102" s="10"/>
      <x:c r="Q102" s="13" t="n">
        <x:f>IF(O102&lt;&gt;"可比较",0,INDEX('配对比较'!$K$7:$K$42,MATCH(B102,'配对比较'!$A$7:$A$42,0)))</x:f>
        <x:v>0</x:v>
      </x:c>
    </x:row>
    <x:row r="103" ht="25" customHeight="1">
      <x:c r="A103" s="13" t="str">
        <x:v>F09-R1-CC</x:v>
      </x:c>
      <x:c r="B103" s="13" t="str">
        <x:f>IF(COUNTIFS('运行记录'!$A$7:$A$150,A103)=1,INDEX('运行记录'!$B$7:$B$150,MATCH(A103,'运行记录'!$A$7:$A$150,0)),"")</x:f>
        <x:v>F09-R1</x:v>
      </x:c>
      <x:c r="C103" s="13" t="str">
        <x:f>IF(COUNTIFS('运行记录'!$A$7:$A$150,A103)=1,INDEX('运行记录'!$C$7:$C$150,MATCH(A103,'运行记录'!$A$7:$A$150,0)),"")</x:f>
        <x:v>F09</x:v>
      </x:c>
      <x:c r="D103" s="13" t="str">
        <x:f>IF(COUNTIFS('运行记录'!$A$7:$A$150,A103)=1,INDEX('运行记录'!$E$7:$E$150,MATCH(A103,'运行记录'!$A$7:$A$150,0)),"")</x:f>
        <x:v>Claude Code</x:v>
      </x:c>
      <x:c r="E103" s="10"/>
      <x:c r="F103" s="56"/>
      <x:c r="G103" s="56"/>
      <x:c r="H103" s="56"/>
      <x:c r="I103" s="56"/>
      <x:c r="J103" s="56"/>
      <x:c r="K103" s="56"/>
      <x:c r="L103" s="56"/>
      <x:c r="M103" s="56"/>
      <x:c r="N103" s="50" t="str">
        <x:f>IF(O103="可比较",SUMPRODUCT(F103:M103,'试点设置'!$B$29:$I$29)*20,"")</x:f>
      </x:c>
      <x:c r="O103" s="13" t="str">
        <x:f>IF(COUNTA(E103:M103)+COUNTA(P103)=0,"待评分",IF(OR(COUNTIFS($A$7:$A$150,A103)&lt;&gt;1,COUNTIFS('运行记录'!$A$7:$A$150,A103)&lt;&gt;1),"ID重复或无效",IF(INDEX('运行记录'!$AE$7:$AE$150,MATCH(A103,'运行记录'!$A$7:$A$150,0))&lt;&gt;"纳入","运行记录未纳入",IF(OR(E103="",P103="",COUNT(F103:M103)&lt;&gt;8),"待补齐评分或证据",IF(OR(MIN(F103:M103)&lt;1,MAX(F103:M103)&gt;5,MOD(F103,1)&lt;&gt;0,MOD(G103,1)&lt;&gt;0,MOD(H103,1)&lt;&gt;0,MOD(I103,1)&lt;&gt;0,MOD(J103,1)&lt;&gt;0,MOD(K103,1)&lt;&gt;0,MOD(L103,1)&lt;&gt;0,MOD(M103,1)&lt;&gt;0),"分数须为1至5整数",IF(ABS('试点设置'!$C$31-1)&gt;0.000001,"权重非100%","可比较"))))))</x:f>
        <x:v>待评分</x:v>
      </x:c>
      <x:c r="P103" s="10"/>
      <x:c r="Q103" s="13" t="n">
        <x:f>IF(O103&lt;&gt;"可比较",0,INDEX('配对比较'!$K$7:$K$42,MATCH(B103,'配对比较'!$A$7:$A$42,0)))</x:f>
        <x:v>0</x:v>
      </x:c>
    </x:row>
    <x:row r="104" ht="25" customHeight="1">
      <x:c r="A104" s="13" t="str">
        <x:v>F09-R1-CX</x:v>
      </x:c>
      <x:c r="B104" s="13" t="str">
        <x:f>IF(COUNTIFS('运行记录'!$A$7:$A$150,A104)=1,INDEX('运行记录'!$B$7:$B$150,MATCH(A104,'运行记录'!$A$7:$A$150,0)),"")</x:f>
        <x:v>F09-R1</x:v>
      </x:c>
      <x:c r="C104" s="13" t="str">
        <x:f>IF(COUNTIFS('运行记录'!$A$7:$A$150,A104)=1,INDEX('运行记录'!$C$7:$C$150,MATCH(A104,'运行记录'!$A$7:$A$150,0)),"")</x:f>
        <x:v>F09</x:v>
      </x:c>
      <x:c r="D104" s="13" t="str">
        <x:f>IF(COUNTIFS('运行记录'!$A$7:$A$150,A104)=1,INDEX('运行记录'!$E$7:$E$150,MATCH(A104,'运行记录'!$A$7:$A$150,0)),"")</x:f>
        <x:v>Codex</x:v>
      </x:c>
      <x:c r="E104" s="10"/>
      <x:c r="F104" s="56"/>
      <x:c r="G104" s="56"/>
      <x:c r="H104" s="56"/>
      <x:c r="I104" s="56"/>
      <x:c r="J104" s="56"/>
      <x:c r="K104" s="56"/>
      <x:c r="L104" s="56"/>
      <x:c r="M104" s="56"/>
      <x:c r="N104" s="50" t="str">
        <x:f>IF(O104="可比较",SUMPRODUCT(F104:M104,'试点设置'!$B$29:$I$29)*20,"")</x:f>
      </x:c>
      <x:c r="O104" s="13" t="str">
        <x:f>IF(COUNTA(E104:M104)+COUNTA(P104)=0,"待评分",IF(OR(COUNTIFS($A$7:$A$150,A104)&lt;&gt;1,COUNTIFS('运行记录'!$A$7:$A$150,A104)&lt;&gt;1),"ID重复或无效",IF(INDEX('运行记录'!$AE$7:$AE$150,MATCH(A104,'运行记录'!$A$7:$A$150,0))&lt;&gt;"纳入","运行记录未纳入",IF(OR(E104="",P104="",COUNT(F104:M104)&lt;&gt;8),"待补齐评分或证据",IF(OR(MIN(F104:M104)&lt;1,MAX(F104:M104)&gt;5,MOD(F104,1)&lt;&gt;0,MOD(G104,1)&lt;&gt;0,MOD(H104,1)&lt;&gt;0,MOD(I104,1)&lt;&gt;0,MOD(J104,1)&lt;&gt;0,MOD(K104,1)&lt;&gt;0,MOD(L104,1)&lt;&gt;0,MOD(M104,1)&lt;&gt;0),"分数须为1至5整数",IF(ABS('试点设置'!$C$31-1)&gt;0.000001,"权重非100%","可比较"))))))</x:f>
        <x:v>待评分</x:v>
      </x:c>
      <x:c r="P104" s="10"/>
      <x:c r="Q104" s="13" t="n">
        <x:f>IF(O104&lt;&gt;"可比较",0,INDEX('配对比较'!$K$7:$K$42,MATCH(B104,'配对比较'!$A$7:$A$42,0)))</x:f>
        <x:v>0</x:v>
      </x:c>
    </x:row>
    <x:row r="105" ht="25" customHeight="1">
      <x:c r="A105" s="13" t="str">
        <x:v>F09-R1-TR</x:v>
      </x:c>
      <x:c r="B105" s="13" t="str">
        <x:f>IF(COUNTIFS('运行记录'!$A$7:$A$150,A105)=1,INDEX('运行记录'!$B$7:$B$150,MATCH(A105,'运行记录'!$A$7:$A$150,0)),"")</x:f>
        <x:v>F09-R1</x:v>
      </x:c>
      <x:c r="C105" s="13" t="str">
        <x:f>IF(COUNTIFS('运行记录'!$A$7:$A$150,A105)=1,INDEX('运行记录'!$C$7:$C$150,MATCH(A105,'运行记录'!$A$7:$A$150,0)),"")</x:f>
        <x:v>F09</x:v>
      </x:c>
      <x:c r="D105" s="13" t="str">
        <x:f>IF(COUNTIFS('运行记录'!$A$7:$A$150,A105)=1,INDEX('运行记录'!$E$7:$E$150,MATCH(A105,'运行记录'!$A$7:$A$150,0)),"")</x:f>
        <x:v>Trae</x:v>
      </x:c>
      <x:c r="E105" s="10"/>
      <x:c r="F105" s="56"/>
      <x:c r="G105" s="56"/>
      <x:c r="H105" s="56"/>
      <x:c r="I105" s="56"/>
      <x:c r="J105" s="56"/>
      <x:c r="K105" s="56"/>
      <x:c r="L105" s="56"/>
      <x:c r="M105" s="56"/>
      <x:c r="N105" s="50" t="str">
        <x:f>IF(O105="可比较",SUMPRODUCT(F105:M105,'试点设置'!$B$29:$I$29)*20,"")</x:f>
      </x:c>
      <x:c r="O105" s="13" t="str">
        <x:f>IF(COUNTA(E105:M105)+COUNTA(P105)=0,"待评分",IF(OR(COUNTIFS($A$7:$A$150,A105)&lt;&gt;1,COUNTIFS('运行记录'!$A$7:$A$150,A105)&lt;&gt;1),"ID重复或无效",IF(INDEX('运行记录'!$AE$7:$AE$150,MATCH(A105,'运行记录'!$A$7:$A$150,0))&lt;&gt;"纳入","运行记录未纳入",IF(OR(E105="",P105="",COUNT(F105:M105)&lt;&gt;8),"待补齐评分或证据",IF(OR(MIN(F105:M105)&lt;1,MAX(F105:M105)&gt;5,MOD(F105,1)&lt;&gt;0,MOD(G105,1)&lt;&gt;0,MOD(H105,1)&lt;&gt;0,MOD(I105,1)&lt;&gt;0,MOD(J105,1)&lt;&gt;0,MOD(K105,1)&lt;&gt;0,MOD(L105,1)&lt;&gt;0,MOD(M105,1)&lt;&gt;0),"分数须为1至5整数",IF(ABS('试点设置'!$C$31-1)&gt;0.000001,"权重非100%","可比较"))))))</x:f>
        <x:v>待评分</x:v>
      </x:c>
      <x:c r="P105" s="10"/>
      <x:c r="Q105" s="13" t="n">
        <x:f>IF(O105&lt;&gt;"可比较",0,INDEX('配对比较'!$K$7:$K$42,MATCH(B105,'配对比较'!$A$7:$A$42,0)))</x:f>
        <x:v>0</x:v>
      </x:c>
    </x:row>
    <x:row r="106" ht="25" customHeight="1">
      <x:c r="A106" s="13" t="str">
        <x:v>F09-R1-CA</x:v>
      </x:c>
      <x:c r="B106" s="13" t="str">
        <x:f>IF(COUNTIFS('运行记录'!$A$7:$A$150,A106)=1,INDEX('运行记录'!$B$7:$B$150,MATCH(A106,'运行记录'!$A$7:$A$150,0)),"")</x:f>
        <x:v>F09-R1</x:v>
      </x:c>
      <x:c r="C106" s="13" t="str">
        <x:f>IF(COUNTIFS('运行记录'!$A$7:$A$150,A106)=1,INDEX('运行记录'!$C$7:$C$150,MATCH(A106,'运行记录'!$A$7:$A$150,0)),"")</x:f>
        <x:v>F09</x:v>
      </x:c>
      <x:c r="D106" s="13" t="str">
        <x:f>IF(COUNTIFS('运行记录'!$A$7:$A$150,A106)=1,INDEX('运行记录'!$E$7:$E$150,MATCH(A106,'运行记录'!$A$7:$A$150,0)),"")</x:f>
        <x:v>CodeArts</x:v>
      </x:c>
      <x:c r="E106" s="10"/>
      <x:c r="F106" s="56"/>
      <x:c r="G106" s="56"/>
      <x:c r="H106" s="56"/>
      <x:c r="I106" s="56"/>
      <x:c r="J106" s="56"/>
      <x:c r="K106" s="56"/>
      <x:c r="L106" s="56"/>
      <x:c r="M106" s="56"/>
      <x:c r="N106" s="50" t="str">
        <x:f>IF(O106="可比较",SUMPRODUCT(F106:M106,'试点设置'!$B$29:$I$29)*20,"")</x:f>
      </x:c>
      <x:c r="O106" s="13" t="str">
        <x:f>IF(COUNTA(E106:M106)+COUNTA(P106)=0,"待评分",IF(OR(COUNTIFS($A$7:$A$150,A106)&lt;&gt;1,COUNTIFS('运行记录'!$A$7:$A$150,A106)&lt;&gt;1),"ID重复或无效",IF(INDEX('运行记录'!$AE$7:$AE$150,MATCH(A106,'运行记录'!$A$7:$A$150,0))&lt;&gt;"纳入","运行记录未纳入",IF(OR(E106="",P106="",COUNT(F106:M106)&lt;&gt;8),"待补齐评分或证据",IF(OR(MIN(F106:M106)&lt;1,MAX(F106:M106)&gt;5,MOD(F106,1)&lt;&gt;0,MOD(G106,1)&lt;&gt;0,MOD(H106,1)&lt;&gt;0,MOD(I106,1)&lt;&gt;0,MOD(J106,1)&lt;&gt;0,MOD(K106,1)&lt;&gt;0,MOD(L106,1)&lt;&gt;0,MOD(M106,1)&lt;&gt;0),"分数须为1至5整数",IF(ABS('试点设置'!$C$31-1)&gt;0.000001,"权重非100%","可比较"))))))</x:f>
        <x:v>待评分</x:v>
      </x:c>
      <x:c r="P106" s="10"/>
      <x:c r="Q106" s="13" t="n">
        <x:f>IF(O106&lt;&gt;"可比较",0,INDEX('配对比较'!$K$7:$K$42,MATCH(B106,'配对比较'!$A$7:$A$42,0)))</x:f>
        <x:v>0</x:v>
      </x:c>
    </x:row>
    <x:row r="107" ht="25" customHeight="1">
      <x:c r="A107" s="13" t="str">
        <x:v>F09-R2-CC</x:v>
      </x:c>
      <x:c r="B107" s="13" t="str">
        <x:f>IF(COUNTIFS('运行记录'!$A$7:$A$150,A107)=1,INDEX('运行记录'!$B$7:$B$150,MATCH(A107,'运行记录'!$A$7:$A$150,0)),"")</x:f>
        <x:v>F09-R2</x:v>
      </x:c>
      <x:c r="C107" s="13" t="str">
        <x:f>IF(COUNTIFS('运行记录'!$A$7:$A$150,A107)=1,INDEX('运行记录'!$C$7:$C$150,MATCH(A107,'运行记录'!$A$7:$A$150,0)),"")</x:f>
        <x:v>F09</x:v>
      </x:c>
      <x:c r="D107" s="13" t="str">
        <x:f>IF(COUNTIFS('运行记录'!$A$7:$A$150,A107)=1,INDEX('运行记录'!$E$7:$E$150,MATCH(A107,'运行记录'!$A$7:$A$150,0)),"")</x:f>
        <x:v>Claude Code</x:v>
      </x:c>
      <x:c r="E107" s="10"/>
      <x:c r="F107" s="56"/>
      <x:c r="G107" s="56"/>
      <x:c r="H107" s="56"/>
      <x:c r="I107" s="56"/>
      <x:c r="J107" s="56"/>
      <x:c r="K107" s="56"/>
      <x:c r="L107" s="56"/>
      <x:c r="M107" s="56"/>
      <x:c r="N107" s="50" t="str">
        <x:f>IF(O107="可比较",SUMPRODUCT(F107:M107,'试点设置'!$B$29:$I$29)*20,"")</x:f>
      </x:c>
      <x:c r="O107" s="13" t="str">
        <x:f>IF(COUNTA(E107:M107)+COUNTA(P107)=0,"待评分",IF(OR(COUNTIFS($A$7:$A$150,A107)&lt;&gt;1,COUNTIFS('运行记录'!$A$7:$A$150,A107)&lt;&gt;1),"ID重复或无效",IF(INDEX('运行记录'!$AE$7:$AE$150,MATCH(A107,'运行记录'!$A$7:$A$150,0))&lt;&gt;"纳入","运行记录未纳入",IF(OR(E107="",P107="",COUNT(F107:M107)&lt;&gt;8),"待补齐评分或证据",IF(OR(MIN(F107:M107)&lt;1,MAX(F107:M107)&gt;5,MOD(F107,1)&lt;&gt;0,MOD(G107,1)&lt;&gt;0,MOD(H107,1)&lt;&gt;0,MOD(I107,1)&lt;&gt;0,MOD(J107,1)&lt;&gt;0,MOD(K107,1)&lt;&gt;0,MOD(L107,1)&lt;&gt;0,MOD(M107,1)&lt;&gt;0),"分数须为1至5整数",IF(ABS('试点设置'!$C$31-1)&gt;0.000001,"权重非100%","可比较"))))))</x:f>
        <x:v>待评分</x:v>
      </x:c>
      <x:c r="P107" s="10"/>
      <x:c r="Q107" s="13" t="n">
        <x:f>IF(O107&lt;&gt;"可比较",0,INDEX('配对比较'!$K$7:$K$42,MATCH(B107,'配对比较'!$A$7:$A$42,0)))</x:f>
        <x:v>0</x:v>
      </x:c>
    </x:row>
    <x:row r="108" ht="25" customHeight="1">
      <x:c r="A108" s="13" t="str">
        <x:v>F09-R2-CX</x:v>
      </x:c>
      <x:c r="B108" s="13" t="str">
        <x:f>IF(COUNTIFS('运行记录'!$A$7:$A$150,A108)=1,INDEX('运行记录'!$B$7:$B$150,MATCH(A108,'运行记录'!$A$7:$A$150,0)),"")</x:f>
        <x:v>F09-R2</x:v>
      </x:c>
      <x:c r="C108" s="13" t="str">
        <x:f>IF(COUNTIFS('运行记录'!$A$7:$A$150,A108)=1,INDEX('运行记录'!$C$7:$C$150,MATCH(A108,'运行记录'!$A$7:$A$150,0)),"")</x:f>
        <x:v>F09</x:v>
      </x:c>
      <x:c r="D108" s="13" t="str">
        <x:f>IF(COUNTIFS('运行记录'!$A$7:$A$150,A108)=1,INDEX('运行记录'!$E$7:$E$150,MATCH(A108,'运行记录'!$A$7:$A$150,0)),"")</x:f>
        <x:v>Codex</x:v>
      </x:c>
      <x:c r="E108" s="10"/>
      <x:c r="F108" s="56"/>
      <x:c r="G108" s="56"/>
      <x:c r="H108" s="56"/>
      <x:c r="I108" s="56"/>
      <x:c r="J108" s="56"/>
      <x:c r="K108" s="56"/>
      <x:c r="L108" s="56"/>
      <x:c r="M108" s="56"/>
      <x:c r="N108" s="50" t="str">
        <x:f>IF(O108="可比较",SUMPRODUCT(F108:M108,'试点设置'!$B$29:$I$29)*20,"")</x:f>
      </x:c>
      <x:c r="O108" s="13" t="str">
        <x:f>IF(COUNTA(E108:M108)+COUNTA(P108)=0,"待评分",IF(OR(COUNTIFS($A$7:$A$150,A108)&lt;&gt;1,COUNTIFS('运行记录'!$A$7:$A$150,A108)&lt;&gt;1),"ID重复或无效",IF(INDEX('运行记录'!$AE$7:$AE$150,MATCH(A108,'运行记录'!$A$7:$A$150,0))&lt;&gt;"纳入","运行记录未纳入",IF(OR(E108="",P108="",COUNT(F108:M108)&lt;&gt;8),"待补齐评分或证据",IF(OR(MIN(F108:M108)&lt;1,MAX(F108:M108)&gt;5,MOD(F108,1)&lt;&gt;0,MOD(G108,1)&lt;&gt;0,MOD(H108,1)&lt;&gt;0,MOD(I108,1)&lt;&gt;0,MOD(J108,1)&lt;&gt;0,MOD(K108,1)&lt;&gt;0,MOD(L108,1)&lt;&gt;0,MOD(M108,1)&lt;&gt;0),"分数须为1至5整数",IF(ABS('试点设置'!$C$31-1)&gt;0.000001,"权重非100%","可比较"))))))</x:f>
        <x:v>待评分</x:v>
      </x:c>
      <x:c r="P108" s="10"/>
      <x:c r="Q108" s="13" t="n">
        <x:f>IF(O108&lt;&gt;"可比较",0,INDEX('配对比较'!$K$7:$K$42,MATCH(B108,'配对比较'!$A$7:$A$42,0)))</x:f>
        <x:v>0</x:v>
      </x:c>
    </x:row>
    <x:row r="109" ht="25" customHeight="1">
      <x:c r="A109" s="13" t="str">
        <x:v>F09-R2-TR</x:v>
      </x:c>
      <x:c r="B109" s="13" t="str">
        <x:f>IF(COUNTIFS('运行记录'!$A$7:$A$150,A109)=1,INDEX('运行记录'!$B$7:$B$150,MATCH(A109,'运行记录'!$A$7:$A$150,0)),"")</x:f>
        <x:v>F09-R2</x:v>
      </x:c>
      <x:c r="C109" s="13" t="str">
        <x:f>IF(COUNTIFS('运行记录'!$A$7:$A$150,A109)=1,INDEX('运行记录'!$C$7:$C$150,MATCH(A109,'运行记录'!$A$7:$A$150,0)),"")</x:f>
        <x:v>F09</x:v>
      </x:c>
      <x:c r="D109" s="13" t="str">
        <x:f>IF(COUNTIFS('运行记录'!$A$7:$A$150,A109)=1,INDEX('运行记录'!$E$7:$E$150,MATCH(A109,'运行记录'!$A$7:$A$150,0)),"")</x:f>
        <x:v>Trae</x:v>
      </x:c>
      <x:c r="E109" s="10"/>
      <x:c r="F109" s="56"/>
      <x:c r="G109" s="56"/>
      <x:c r="H109" s="56"/>
      <x:c r="I109" s="56"/>
      <x:c r="J109" s="56"/>
      <x:c r="K109" s="56"/>
      <x:c r="L109" s="56"/>
      <x:c r="M109" s="56"/>
      <x:c r="N109" s="50" t="str">
        <x:f>IF(O109="可比较",SUMPRODUCT(F109:M109,'试点设置'!$B$29:$I$29)*20,"")</x:f>
      </x:c>
      <x:c r="O109" s="13" t="str">
        <x:f>IF(COUNTA(E109:M109)+COUNTA(P109)=0,"待评分",IF(OR(COUNTIFS($A$7:$A$150,A109)&lt;&gt;1,COUNTIFS('运行记录'!$A$7:$A$150,A109)&lt;&gt;1),"ID重复或无效",IF(INDEX('运行记录'!$AE$7:$AE$150,MATCH(A109,'运行记录'!$A$7:$A$150,0))&lt;&gt;"纳入","运行记录未纳入",IF(OR(E109="",P109="",COUNT(F109:M109)&lt;&gt;8),"待补齐评分或证据",IF(OR(MIN(F109:M109)&lt;1,MAX(F109:M109)&gt;5,MOD(F109,1)&lt;&gt;0,MOD(G109,1)&lt;&gt;0,MOD(H109,1)&lt;&gt;0,MOD(I109,1)&lt;&gt;0,MOD(J109,1)&lt;&gt;0,MOD(K109,1)&lt;&gt;0,MOD(L109,1)&lt;&gt;0,MOD(M109,1)&lt;&gt;0),"分数须为1至5整数",IF(ABS('试点设置'!$C$31-1)&gt;0.000001,"权重非100%","可比较"))))))</x:f>
        <x:v>待评分</x:v>
      </x:c>
      <x:c r="P109" s="10"/>
      <x:c r="Q109" s="13" t="n">
        <x:f>IF(O109&lt;&gt;"可比较",0,INDEX('配对比较'!$K$7:$K$42,MATCH(B109,'配对比较'!$A$7:$A$42,0)))</x:f>
        <x:v>0</x:v>
      </x:c>
    </x:row>
    <x:row r="110" ht="25" customHeight="1">
      <x:c r="A110" s="13" t="str">
        <x:v>F09-R2-CA</x:v>
      </x:c>
      <x:c r="B110" s="13" t="str">
        <x:f>IF(COUNTIFS('运行记录'!$A$7:$A$150,A110)=1,INDEX('运行记录'!$B$7:$B$150,MATCH(A110,'运行记录'!$A$7:$A$150,0)),"")</x:f>
        <x:v>F09-R2</x:v>
      </x:c>
      <x:c r="C110" s="13" t="str">
        <x:f>IF(COUNTIFS('运行记录'!$A$7:$A$150,A110)=1,INDEX('运行记录'!$C$7:$C$150,MATCH(A110,'运行记录'!$A$7:$A$150,0)),"")</x:f>
        <x:v>F09</x:v>
      </x:c>
      <x:c r="D110" s="13" t="str">
        <x:f>IF(COUNTIFS('运行记录'!$A$7:$A$150,A110)=1,INDEX('运行记录'!$E$7:$E$150,MATCH(A110,'运行记录'!$A$7:$A$150,0)),"")</x:f>
        <x:v>CodeArts</x:v>
      </x:c>
      <x:c r="E110" s="10"/>
      <x:c r="F110" s="56"/>
      <x:c r="G110" s="56"/>
      <x:c r="H110" s="56"/>
      <x:c r="I110" s="56"/>
      <x:c r="J110" s="56"/>
      <x:c r="K110" s="56"/>
      <x:c r="L110" s="56"/>
      <x:c r="M110" s="56"/>
      <x:c r="N110" s="50" t="str">
        <x:f>IF(O110="可比较",SUMPRODUCT(F110:M110,'试点设置'!$B$29:$I$29)*20,"")</x:f>
      </x:c>
      <x:c r="O110" s="13" t="str">
        <x:f>IF(COUNTA(E110:M110)+COUNTA(P110)=0,"待评分",IF(OR(COUNTIFS($A$7:$A$150,A110)&lt;&gt;1,COUNTIFS('运行记录'!$A$7:$A$150,A110)&lt;&gt;1),"ID重复或无效",IF(INDEX('运行记录'!$AE$7:$AE$150,MATCH(A110,'运行记录'!$A$7:$A$150,0))&lt;&gt;"纳入","运行记录未纳入",IF(OR(E110="",P110="",COUNT(F110:M110)&lt;&gt;8),"待补齐评分或证据",IF(OR(MIN(F110:M110)&lt;1,MAX(F110:M110)&gt;5,MOD(F110,1)&lt;&gt;0,MOD(G110,1)&lt;&gt;0,MOD(H110,1)&lt;&gt;0,MOD(I110,1)&lt;&gt;0,MOD(J110,1)&lt;&gt;0,MOD(K110,1)&lt;&gt;0,MOD(L110,1)&lt;&gt;0,MOD(M110,1)&lt;&gt;0),"分数须为1至5整数",IF(ABS('试点设置'!$C$31-1)&gt;0.000001,"权重非100%","可比较"))))))</x:f>
        <x:v>待评分</x:v>
      </x:c>
      <x:c r="P110" s="10"/>
      <x:c r="Q110" s="13" t="n">
        <x:f>IF(O110&lt;&gt;"可比较",0,INDEX('配对比较'!$K$7:$K$42,MATCH(B110,'配对比较'!$A$7:$A$42,0)))</x:f>
        <x:v>0</x:v>
      </x:c>
    </x:row>
    <x:row r="111" ht="25" customHeight="1">
      <x:c r="A111" s="13" t="str">
        <x:v>F09-R3-CC</x:v>
      </x:c>
      <x:c r="B111" s="13" t="str">
        <x:f>IF(COUNTIFS('运行记录'!$A$7:$A$150,A111)=1,INDEX('运行记录'!$B$7:$B$150,MATCH(A111,'运行记录'!$A$7:$A$150,0)),"")</x:f>
        <x:v>F09-R3</x:v>
      </x:c>
      <x:c r="C111" s="13" t="str">
        <x:f>IF(COUNTIFS('运行记录'!$A$7:$A$150,A111)=1,INDEX('运行记录'!$C$7:$C$150,MATCH(A111,'运行记录'!$A$7:$A$150,0)),"")</x:f>
        <x:v>F09</x:v>
      </x:c>
      <x:c r="D111" s="13" t="str">
        <x:f>IF(COUNTIFS('运行记录'!$A$7:$A$150,A111)=1,INDEX('运行记录'!$E$7:$E$150,MATCH(A111,'运行记录'!$A$7:$A$150,0)),"")</x:f>
        <x:v>Claude Code</x:v>
      </x:c>
      <x:c r="E111" s="10"/>
      <x:c r="F111" s="56"/>
      <x:c r="G111" s="56"/>
      <x:c r="H111" s="56"/>
      <x:c r="I111" s="56"/>
      <x:c r="J111" s="56"/>
      <x:c r="K111" s="56"/>
      <x:c r="L111" s="56"/>
      <x:c r="M111" s="56"/>
      <x:c r="N111" s="50" t="str">
        <x:f>IF(O111="可比较",SUMPRODUCT(F111:M111,'试点设置'!$B$29:$I$29)*20,"")</x:f>
      </x:c>
      <x:c r="O111" s="13" t="str">
        <x:f>IF(COUNTA(E111:M111)+COUNTA(P111)=0,"待评分",IF(OR(COUNTIFS($A$7:$A$150,A111)&lt;&gt;1,COUNTIFS('运行记录'!$A$7:$A$150,A111)&lt;&gt;1),"ID重复或无效",IF(INDEX('运行记录'!$AE$7:$AE$150,MATCH(A111,'运行记录'!$A$7:$A$150,0))&lt;&gt;"纳入","运行记录未纳入",IF(OR(E111="",P111="",COUNT(F111:M111)&lt;&gt;8),"待补齐评分或证据",IF(OR(MIN(F111:M111)&lt;1,MAX(F111:M111)&gt;5,MOD(F111,1)&lt;&gt;0,MOD(G111,1)&lt;&gt;0,MOD(H111,1)&lt;&gt;0,MOD(I111,1)&lt;&gt;0,MOD(J111,1)&lt;&gt;0,MOD(K111,1)&lt;&gt;0,MOD(L111,1)&lt;&gt;0,MOD(M111,1)&lt;&gt;0),"分数须为1至5整数",IF(ABS('试点设置'!$C$31-1)&gt;0.000001,"权重非100%","可比较"))))))</x:f>
        <x:v>待评分</x:v>
      </x:c>
      <x:c r="P111" s="10"/>
      <x:c r="Q111" s="13" t="n">
        <x:f>IF(O111&lt;&gt;"可比较",0,INDEX('配对比较'!$K$7:$K$42,MATCH(B111,'配对比较'!$A$7:$A$42,0)))</x:f>
        <x:v>0</x:v>
      </x:c>
    </x:row>
    <x:row r="112" ht="25" customHeight="1">
      <x:c r="A112" s="13" t="str">
        <x:v>F09-R3-CX</x:v>
      </x:c>
      <x:c r="B112" s="13" t="str">
        <x:f>IF(COUNTIFS('运行记录'!$A$7:$A$150,A112)=1,INDEX('运行记录'!$B$7:$B$150,MATCH(A112,'运行记录'!$A$7:$A$150,0)),"")</x:f>
        <x:v>F09-R3</x:v>
      </x:c>
      <x:c r="C112" s="13" t="str">
        <x:f>IF(COUNTIFS('运行记录'!$A$7:$A$150,A112)=1,INDEX('运行记录'!$C$7:$C$150,MATCH(A112,'运行记录'!$A$7:$A$150,0)),"")</x:f>
        <x:v>F09</x:v>
      </x:c>
      <x:c r="D112" s="13" t="str">
        <x:f>IF(COUNTIFS('运行记录'!$A$7:$A$150,A112)=1,INDEX('运行记录'!$E$7:$E$150,MATCH(A112,'运行记录'!$A$7:$A$150,0)),"")</x:f>
        <x:v>Codex</x:v>
      </x:c>
      <x:c r="E112" s="10"/>
      <x:c r="F112" s="56"/>
      <x:c r="G112" s="56"/>
      <x:c r="H112" s="56"/>
      <x:c r="I112" s="56"/>
      <x:c r="J112" s="56"/>
      <x:c r="K112" s="56"/>
      <x:c r="L112" s="56"/>
      <x:c r="M112" s="56"/>
      <x:c r="N112" s="50" t="str">
        <x:f>IF(O112="可比较",SUMPRODUCT(F112:M112,'试点设置'!$B$29:$I$29)*20,"")</x:f>
      </x:c>
      <x:c r="O112" s="13" t="str">
        <x:f>IF(COUNTA(E112:M112)+COUNTA(P112)=0,"待评分",IF(OR(COUNTIFS($A$7:$A$150,A112)&lt;&gt;1,COUNTIFS('运行记录'!$A$7:$A$150,A112)&lt;&gt;1),"ID重复或无效",IF(INDEX('运行记录'!$AE$7:$AE$150,MATCH(A112,'运行记录'!$A$7:$A$150,0))&lt;&gt;"纳入","运行记录未纳入",IF(OR(E112="",P112="",COUNT(F112:M112)&lt;&gt;8),"待补齐评分或证据",IF(OR(MIN(F112:M112)&lt;1,MAX(F112:M112)&gt;5,MOD(F112,1)&lt;&gt;0,MOD(G112,1)&lt;&gt;0,MOD(H112,1)&lt;&gt;0,MOD(I112,1)&lt;&gt;0,MOD(J112,1)&lt;&gt;0,MOD(K112,1)&lt;&gt;0,MOD(L112,1)&lt;&gt;0,MOD(M112,1)&lt;&gt;0),"分数须为1至5整数",IF(ABS('试点设置'!$C$31-1)&gt;0.000001,"权重非100%","可比较"))))))</x:f>
        <x:v>待评分</x:v>
      </x:c>
      <x:c r="P112" s="10"/>
      <x:c r="Q112" s="13" t="n">
        <x:f>IF(O112&lt;&gt;"可比较",0,INDEX('配对比较'!$K$7:$K$42,MATCH(B112,'配对比较'!$A$7:$A$42,0)))</x:f>
        <x:v>0</x:v>
      </x:c>
    </x:row>
    <x:row r="113" ht="25" customHeight="1">
      <x:c r="A113" s="13" t="str">
        <x:v>F09-R3-TR</x:v>
      </x:c>
      <x:c r="B113" s="13" t="str">
        <x:f>IF(COUNTIFS('运行记录'!$A$7:$A$150,A113)=1,INDEX('运行记录'!$B$7:$B$150,MATCH(A113,'运行记录'!$A$7:$A$150,0)),"")</x:f>
        <x:v>F09-R3</x:v>
      </x:c>
      <x:c r="C113" s="13" t="str">
        <x:f>IF(COUNTIFS('运行记录'!$A$7:$A$150,A113)=1,INDEX('运行记录'!$C$7:$C$150,MATCH(A113,'运行记录'!$A$7:$A$150,0)),"")</x:f>
        <x:v>F09</x:v>
      </x:c>
      <x:c r="D113" s="13" t="str">
        <x:f>IF(COUNTIFS('运行记录'!$A$7:$A$150,A113)=1,INDEX('运行记录'!$E$7:$E$150,MATCH(A113,'运行记录'!$A$7:$A$150,0)),"")</x:f>
        <x:v>Trae</x:v>
      </x:c>
      <x:c r="E113" s="10"/>
      <x:c r="F113" s="56"/>
      <x:c r="G113" s="56"/>
      <x:c r="H113" s="56"/>
      <x:c r="I113" s="56"/>
      <x:c r="J113" s="56"/>
      <x:c r="K113" s="56"/>
      <x:c r="L113" s="56"/>
      <x:c r="M113" s="56"/>
      <x:c r="N113" s="50" t="str">
        <x:f>IF(O113="可比较",SUMPRODUCT(F113:M113,'试点设置'!$B$29:$I$29)*20,"")</x:f>
      </x:c>
      <x:c r="O113" s="13" t="str">
        <x:f>IF(COUNTA(E113:M113)+COUNTA(P113)=0,"待评分",IF(OR(COUNTIFS($A$7:$A$150,A113)&lt;&gt;1,COUNTIFS('运行记录'!$A$7:$A$150,A113)&lt;&gt;1),"ID重复或无效",IF(INDEX('运行记录'!$AE$7:$AE$150,MATCH(A113,'运行记录'!$A$7:$A$150,0))&lt;&gt;"纳入","运行记录未纳入",IF(OR(E113="",P113="",COUNT(F113:M113)&lt;&gt;8),"待补齐评分或证据",IF(OR(MIN(F113:M113)&lt;1,MAX(F113:M113)&gt;5,MOD(F113,1)&lt;&gt;0,MOD(G113,1)&lt;&gt;0,MOD(H113,1)&lt;&gt;0,MOD(I113,1)&lt;&gt;0,MOD(J113,1)&lt;&gt;0,MOD(K113,1)&lt;&gt;0,MOD(L113,1)&lt;&gt;0,MOD(M113,1)&lt;&gt;0),"分数须为1至5整数",IF(ABS('试点设置'!$C$31-1)&gt;0.000001,"权重非100%","可比较"))))))</x:f>
        <x:v>待评分</x:v>
      </x:c>
      <x:c r="P113" s="10"/>
      <x:c r="Q113" s="13" t="n">
        <x:f>IF(O113&lt;&gt;"可比较",0,INDEX('配对比较'!$K$7:$K$42,MATCH(B113,'配对比较'!$A$7:$A$42,0)))</x:f>
        <x:v>0</x:v>
      </x:c>
    </x:row>
    <x:row r="114" ht="25" customHeight="1">
      <x:c r="A114" s="13" t="str">
        <x:v>F09-R3-CA</x:v>
      </x:c>
      <x:c r="B114" s="13" t="str">
        <x:f>IF(COUNTIFS('运行记录'!$A$7:$A$150,A114)=1,INDEX('运行记录'!$B$7:$B$150,MATCH(A114,'运行记录'!$A$7:$A$150,0)),"")</x:f>
        <x:v>F09-R3</x:v>
      </x:c>
      <x:c r="C114" s="13" t="str">
        <x:f>IF(COUNTIFS('运行记录'!$A$7:$A$150,A114)=1,INDEX('运行记录'!$C$7:$C$150,MATCH(A114,'运行记录'!$A$7:$A$150,0)),"")</x:f>
        <x:v>F09</x:v>
      </x:c>
      <x:c r="D114" s="13" t="str">
        <x:f>IF(COUNTIFS('运行记录'!$A$7:$A$150,A114)=1,INDEX('运行记录'!$E$7:$E$150,MATCH(A114,'运行记录'!$A$7:$A$150,0)),"")</x:f>
        <x:v>CodeArts</x:v>
      </x:c>
      <x:c r="E114" s="10"/>
      <x:c r="F114" s="56"/>
      <x:c r="G114" s="56"/>
      <x:c r="H114" s="56"/>
      <x:c r="I114" s="56"/>
      <x:c r="J114" s="56"/>
      <x:c r="K114" s="56"/>
      <x:c r="L114" s="56"/>
      <x:c r="M114" s="56"/>
      <x:c r="N114" s="50" t="str">
        <x:f>IF(O114="可比较",SUMPRODUCT(F114:M114,'试点设置'!$B$29:$I$29)*20,"")</x:f>
      </x:c>
      <x:c r="O114" s="13" t="str">
        <x:f>IF(COUNTA(E114:M114)+COUNTA(P114)=0,"待评分",IF(OR(COUNTIFS($A$7:$A$150,A114)&lt;&gt;1,COUNTIFS('运行记录'!$A$7:$A$150,A114)&lt;&gt;1),"ID重复或无效",IF(INDEX('运行记录'!$AE$7:$AE$150,MATCH(A114,'运行记录'!$A$7:$A$150,0))&lt;&gt;"纳入","运行记录未纳入",IF(OR(E114="",P114="",COUNT(F114:M114)&lt;&gt;8),"待补齐评分或证据",IF(OR(MIN(F114:M114)&lt;1,MAX(F114:M114)&gt;5,MOD(F114,1)&lt;&gt;0,MOD(G114,1)&lt;&gt;0,MOD(H114,1)&lt;&gt;0,MOD(I114,1)&lt;&gt;0,MOD(J114,1)&lt;&gt;0,MOD(K114,1)&lt;&gt;0,MOD(L114,1)&lt;&gt;0,MOD(M114,1)&lt;&gt;0),"分数须为1至5整数",IF(ABS('试点设置'!$C$31-1)&gt;0.000001,"权重非100%","可比较"))))))</x:f>
        <x:v>待评分</x:v>
      </x:c>
      <x:c r="P114" s="10"/>
      <x:c r="Q114" s="13" t="n">
        <x:f>IF(O114&lt;&gt;"可比较",0,INDEX('配对比较'!$K$7:$K$42,MATCH(B114,'配对比较'!$A$7:$A$42,0)))</x:f>
        <x:v>0</x:v>
      </x:c>
    </x:row>
    <x:row r="115" ht="25" customHeight="1">
      <x:c r="A115" s="13" t="str">
        <x:v>F10-R1-CC</x:v>
      </x:c>
      <x:c r="B115" s="13" t="str">
        <x:f>IF(COUNTIFS('运行记录'!$A$7:$A$150,A115)=1,INDEX('运行记录'!$B$7:$B$150,MATCH(A115,'运行记录'!$A$7:$A$150,0)),"")</x:f>
        <x:v>F10-R1</x:v>
      </x:c>
      <x:c r="C115" s="13" t="str">
        <x:f>IF(COUNTIFS('运行记录'!$A$7:$A$150,A115)=1,INDEX('运行记录'!$C$7:$C$150,MATCH(A115,'运行记录'!$A$7:$A$150,0)),"")</x:f>
        <x:v>F10</x:v>
      </x:c>
      <x:c r="D115" s="13" t="str">
        <x:f>IF(COUNTIFS('运行记录'!$A$7:$A$150,A115)=1,INDEX('运行记录'!$E$7:$E$150,MATCH(A115,'运行记录'!$A$7:$A$150,0)),"")</x:f>
        <x:v>Claude Code</x:v>
      </x:c>
      <x:c r="E115" s="10"/>
      <x:c r="F115" s="56"/>
      <x:c r="G115" s="56"/>
      <x:c r="H115" s="56"/>
      <x:c r="I115" s="56"/>
      <x:c r="J115" s="56"/>
      <x:c r="K115" s="56"/>
      <x:c r="L115" s="56"/>
      <x:c r="M115" s="56"/>
      <x:c r="N115" s="50" t="str">
        <x:f>IF(O115="可比较",SUMPRODUCT(F115:M115,'试点设置'!$B$29:$I$29)*20,"")</x:f>
      </x:c>
      <x:c r="O115" s="13" t="str">
        <x:f>IF(COUNTA(E115:M115)+COUNTA(P115)=0,"待评分",IF(OR(COUNTIFS($A$7:$A$150,A115)&lt;&gt;1,COUNTIFS('运行记录'!$A$7:$A$150,A115)&lt;&gt;1),"ID重复或无效",IF(INDEX('运行记录'!$AE$7:$AE$150,MATCH(A115,'运行记录'!$A$7:$A$150,0))&lt;&gt;"纳入","运行记录未纳入",IF(OR(E115="",P115="",COUNT(F115:M115)&lt;&gt;8),"待补齐评分或证据",IF(OR(MIN(F115:M115)&lt;1,MAX(F115:M115)&gt;5,MOD(F115,1)&lt;&gt;0,MOD(G115,1)&lt;&gt;0,MOD(H115,1)&lt;&gt;0,MOD(I115,1)&lt;&gt;0,MOD(J115,1)&lt;&gt;0,MOD(K115,1)&lt;&gt;0,MOD(L115,1)&lt;&gt;0,MOD(M115,1)&lt;&gt;0),"分数须为1至5整数",IF(ABS('试点设置'!$C$31-1)&gt;0.000001,"权重非100%","可比较"))))))</x:f>
        <x:v>待评分</x:v>
      </x:c>
      <x:c r="P115" s="10"/>
      <x:c r="Q115" s="13" t="n">
        <x:f>IF(O115&lt;&gt;"可比较",0,INDEX('配对比较'!$K$7:$K$42,MATCH(B115,'配对比较'!$A$7:$A$42,0)))</x:f>
        <x:v>0</x:v>
      </x:c>
    </x:row>
    <x:row r="116" ht="25" customHeight="1">
      <x:c r="A116" s="13" t="str">
        <x:v>F10-R1-CX</x:v>
      </x:c>
      <x:c r="B116" s="13" t="str">
        <x:f>IF(COUNTIFS('运行记录'!$A$7:$A$150,A116)=1,INDEX('运行记录'!$B$7:$B$150,MATCH(A116,'运行记录'!$A$7:$A$150,0)),"")</x:f>
        <x:v>F10-R1</x:v>
      </x:c>
      <x:c r="C116" s="13" t="str">
        <x:f>IF(COUNTIFS('运行记录'!$A$7:$A$150,A116)=1,INDEX('运行记录'!$C$7:$C$150,MATCH(A116,'运行记录'!$A$7:$A$150,0)),"")</x:f>
        <x:v>F10</x:v>
      </x:c>
      <x:c r="D116" s="13" t="str">
        <x:f>IF(COUNTIFS('运行记录'!$A$7:$A$150,A116)=1,INDEX('运行记录'!$E$7:$E$150,MATCH(A116,'运行记录'!$A$7:$A$150,0)),"")</x:f>
        <x:v>Codex</x:v>
      </x:c>
      <x:c r="E116" s="10"/>
      <x:c r="F116" s="56"/>
      <x:c r="G116" s="56"/>
      <x:c r="H116" s="56"/>
      <x:c r="I116" s="56"/>
      <x:c r="J116" s="56"/>
      <x:c r="K116" s="56"/>
      <x:c r="L116" s="56"/>
      <x:c r="M116" s="56"/>
      <x:c r="N116" s="50" t="str">
        <x:f>IF(O116="可比较",SUMPRODUCT(F116:M116,'试点设置'!$B$29:$I$29)*20,"")</x:f>
      </x:c>
      <x:c r="O116" s="13" t="str">
        <x:f>IF(COUNTA(E116:M116)+COUNTA(P116)=0,"待评分",IF(OR(COUNTIFS($A$7:$A$150,A116)&lt;&gt;1,COUNTIFS('运行记录'!$A$7:$A$150,A116)&lt;&gt;1),"ID重复或无效",IF(INDEX('运行记录'!$AE$7:$AE$150,MATCH(A116,'运行记录'!$A$7:$A$150,0))&lt;&gt;"纳入","运行记录未纳入",IF(OR(E116="",P116="",COUNT(F116:M116)&lt;&gt;8),"待补齐评分或证据",IF(OR(MIN(F116:M116)&lt;1,MAX(F116:M116)&gt;5,MOD(F116,1)&lt;&gt;0,MOD(G116,1)&lt;&gt;0,MOD(H116,1)&lt;&gt;0,MOD(I116,1)&lt;&gt;0,MOD(J116,1)&lt;&gt;0,MOD(K116,1)&lt;&gt;0,MOD(L116,1)&lt;&gt;0,MOD(M116,1)&lt;&gt;0),"分数须为1至5整数",IF(ABS('试点设置'!$C$31-1)&gt;0.000001,"权重非100%","可比较"))))))</x:f>
        <x:v>待评分</x:v>
      </x:c>
      <x:c r="P116" s="10"/>
      <x:c r="Q116" s="13" t="n">
        <x:f>IF(O116&lt;&gt;"可比较",0,INDEX('配对比较'!$K$7:$K$42,MATCH(B116,'配对比较'!$A$7:$A$42,0)))</x:f>
        <x:v>0</x:v>
      </x:c>
    </x:row>
    <x:row r="117" ht="25" customHeight="1">
      <x:c r="A117" s="13" t="str">
        <x:v>F10-R1-TR</x:v>
      </x:c>
      <x:c r="B117" s="13" t="str">
        <x:f>IF(COUNTIFS('运行记录'!$A$7:$A$150,A117)=1,INDEX('运行记录'!$B$7:$B$150,MATCH(A117,'运行记录'!$A$7:$A$150,0)),"")</x:f>
        <x:v>F10-R1</x:v>
      </x:c>
      <x:c r="C117" s="13" t="str">
        <x:f>IF(COUNTIFS('运行记录'!$A$7:$A$150,A117)=1,INDEX('运行记录'!$C$7:$C$150,MATCH(A117,'运行记录'!$A$7:$A$150,0)),"")</x:f>
        <x:v>F10</x:v>
      </x:c>
      <x:c r="D117" s="13" t="str">
        <x:f>IF(COUNTIFS('运行记录'!$A$7:$A$150,A117)=1,INDEX('运行记录'!$E$7:$E$150,MATCH(A117,'运行记录'!$A$7:$A$150,0)),"")</x:f>
        <x:v>Trae</x:v>
      </x:c>
      <x:c r="E117" s="10"/>
      <x:c r="F117" s="56"/>
      <x:c r="G117" s="56"/>
      <x:c r="H117" s="56"/>
      <x:c r="I117" s="56"/>
      <x:c r="J117" s="56"/>
      <x:c r="K117" s="56"/>
      <x:c r="L117" s="56"/>
      <x:c r="M117" s="56"/>
      <x:c r="N117" s="50" t="str">
        <x:f>IF(O117="可比较",SUMPRODUCT(F117:M117,'试点设置'!$B$29:$I$29)*20,"")</x:f>
      </x:c>
      <x:c r="O117" s="13" t="str">
        <x:f>IF(COUNTA(E117:M117)+COUNTA(P117)=0,"待评分",IF(OR(COUNTIFS($A$7:$A$150,A117)&lt;&gt;1,COUNTIFS('运行记录'!$A$7:$A$150,A117)&lt;&gt;1),"ID重复或无效",IF(INDEX('运行记录'!$AE$7:$AE$150,MATCH(A117,'运行记录'!$A$7:$A$150,0))&lt;&gt;"纳入","运行记录未纳入",IF(OR(E117="",P117="",COUNT(F117:M117)&lt;&gt;8),"待补齐评分或证据",IF(OR(MIN(F117:M117)&lt;1,MAX(F117:M117)&gt;5,MOD(F117,1)&lt;&gt;0,MOD(G117,1)&lt;&gt;0,MOD(H117,1)&lt;&gt;0,MOD(I117,1)&lt;&gt;0,MOD(J117,1)&lt;&gt;0,MOD(K117,1)&lt;&gt;0,MOD(L117,1)&lt;&gt;0,MOD(M117,1)&lt;&gt;0),"分数须为1至5整数",IF(ABS('试点设置'!$C$31-1)&gt;0.000001,"权重非100%","可比较"))))))</x:f>
        <x:v>待评分</x:v>
      </x:c>
      <x:c r="P117" s="10"/>
      <x:c r="Q117" s="13" t="n">
        <x:f>IF(O117&lt;&gt;"可比较",0,INDEX('配对比较'!$K$7:$K$42,MATCH(B117,'配对比较'!$A$7:$A$42,0)))</x:f>
        <x:v>0</x:v>
      </x:c>
    </x:row>
    <x:row r="118" ht="25" customHeight="1">
      <x:c r="A118" s="13" t="str">
        <x:v>F10-R1-CA</x:v>
      </x:c>
      <x:c r="B118" s="13" t="str">
        <x:f>IF(COUNTIFS('运行记录'!$A$7:$A$150,A118)=1,INDEX('运行记录'!$B$7:$B$150,MATCH(A118,'运行记录'!$A$7:$A$150,0)),"")</x:f>
        <x:v>F10-R1</x:v>
      </x:c>
      <x:c r="C118" s="13" t="str">
        <x:f>IF(COUNTIFS('运行记录'!$A$7:$A$150,A118)=1,INDEX('运行记录'!$C$7:$C$150,MATCH(A118,'运行记录'!$A$7:$A$150,0)),"")</x:f>
        <x:v>F10</x:v>
      </x:c>
      <x:c r="D118" s="13" t="str">
        <x:f>IF(COUNTIFS('运行记录'!$A$7:$A$150,A118)=1,INDEX('运行记录'!$E$7:$E$150,MATCH(A118,'运行记录'!$A$7:$A$150,0)),"")</x:f>
        <x:v>CodeArts</x:v>
      </x:c>
      <x:c r="E118" s="10"/>
      <x:c r="F118" s="56"/>
      <x:c r="G118" s="56"/>
      <x:c r="H118" s="56"/>
      <x:c r="I118" s="56"/>
      <x:c r="J118" s="56"/>
      <x:c r="K118" s="56"/>
      <x:c r="L118" s="56"/>
      <x:c r="M118" s="56"/>
      <x:c r="N118" s="50" t="str">
        <x:f>IF(O118="可比较",SUMPRODUCT(F118:M118,'试点设置'!$B$29:$I$29)*20,"")</x:f>
      </x:c>
      <x:c r="O118" s="13" t="str">
        <x:f>IF(COUNTA(E118:M118)+COUNTA(P118)=0,"待评分",IF(OR(COUNTIFS($A$7:$A$150,A118)&lt;&gt;1,COUNTIFS('运行记录'!$A$7:$A$150,A118)&lt;&gt;1),"ID重复或无效",IF(INDEX('运行记录'!$AE$7:$AE$150,MATCH(A118,'运行记录'!$A$7:$A$150,0))&lt;&gt;"纳入","运行记录未纳入",IF(OR(E118="",P118="",COUNT(F118:M118)&lt;&gt;8),"待补齐评分或证据",IF(OR(MIN(F118:M118)&lt;1,MAX(F118:M118)&gt;5,MOD(F118,1)&lt;&gt;0,MOD(G118,1)&lt;&gt;0,MOD(H118,1)&lt;&gt;0,MOD(I118,1)&lt;&gt;0,MOD(J118,1)&lt;&gt;0,MOD(K118,1)&lt;&gt;0,MOD(L118,1)&lt;&gt;0,MOD(M118,1)&lt;&gt;0),"分数须为1至5整数",IF(ABS('试点设置'!$C$31-1)&gt;0.000001,"权重非100%","可比较"))))))</x:f>
        <x:v>待评分</x:v>
      </x:c>
      <x:c r="P118" s="10"/>
      <x:c r="Q118" s="13" t="n">
        <x:f>IF(O118&lt;&gt;"可比较",0,INDEX('配对比较'!$K$7:$K$42,MATCH(B118,'配对比较'!$A$7:$A$42,0)))</x:f>
        <x:v>0</x:v>
      </x:c>
    </x:row>
    <x:row r="119" ht="25" customHeight="1">
      <x:c r="A119" s="13" t="str">
        <x:v>F10-R2-CC</x:v>
      </x:c>
      <x:c r="B119" s="13" t="str">
        <x:f>IF(COUNTIFS('运行记录'!$A$7:$A$150,A119)=1,INDEX('运行记录'!$B$7:$B$150,MATCH(A119,'运行记录'!$A$7:$A$150,0)),"")</x:f>
        <x:v>F10-R2</x:v>
      </x:c>
      <x:c r="C119" s="13" t="str">
        <x:f>IF(COUNTIFS('运行记录'!$A$7:$A$150,A119)=1,INDEX('运行记录'!$C$7:$C$150,MATCH(A119,'运行记录'!$A$7:$A$150,0)),"")</x:f>
        <x:v>F10</x:v>
      </x:c>
      <x:c r="D119" s="13" t="str">
        <x:f>IF(COUNTIFS('运行记录'!$A$7:$A$150,A119)=1,INDEX('运行记录'!$E$7:$E$150,MATCH(A119,'运行记录'!$A$7:$A$150,0)),"")</x:f>
        <x:v>Claude Code</x:v>
      </x:c>
      <x:c r="E119" s="10"/>
      <x:c r="F119" s="56"/>
      <x:c r="G119" s="56"/>
      <x:c r="H119" s="56"/>
      <x:c r="I119" s="56"/>
      <x:c r="J119" s="56"/>
      <x:c r="K119" s="56"/>
      <x:c r="L119" s="56"/>
      <x:c r="M119" s="56"/>
      <x:c r="N119" s="50" t="str">
        <x:f>IF(O119="可比较",SUMPRODUCT(F119:M119,'试点设置'!$B$29:$I$29)*20,"")</x:f>
      </x:c>
      <x:c r="O119" s="13" t="str">
        <x:f>IF(COUNTA(E119:M119)+COUNTA(P119)=0,"待评分",IF(OR(COUNTIFS($A$7:$A$150,A119)&lt;&gt;1,COUNTIFS('运行记录'!$A$7:$A$150,A119)&lt;&gt;1),"ID重复或无效",IF(INDEX('运行记录'!$AE$7:$AE$150,MATCH(A119,'运行记录'!$A$7:$A$150,0))&lt;&gt;"纳入","运行记录未纳入",IF(OR(E119="",P119="",COUNT(F119:M119)&lt;&gt;8),"待补齐评分或证据",IF(OR(MIN(F119:M119)&lt;1,MAX(F119:M119)&gt;5,MOD(F119,1)&lt;&gt;0,MOD(G119,1)&lt;&gt;0,MOD(H119,1)&lt;&gt;0,MOD(I119,1)&lt;&gt;0,MOD(J119,1)&lt;&gt;0,MOD(K119,1)&lt;&gt;0,MOD(L119,1)&lt;&gt;0,MOD(M119,1)&lt;&gt;0),"分数须为1至5整数",IF(ABS('试点设置'!$C$31-1)&gt;0.000001,"权重非100%","可比较"))))))</x:f>
        <x:v>待评分</x:v>
      </x:c>
      <x:c r="P119" s="10"/>
      <x:c r="Q119" s="13" t="n">
        <x:f>IF(O119&lt;&gt;"可比较",0,INDEX('配对比较'!$K$7:$K$42,MATCH(B119,'配对比较'!$A$7:$A$42,0)))</x:f>
        <x:v>0</x:v>
      </x:c>
    </x:row>
    <x:row r="120" ht="25" customHeight="1">
      <x:c r="A120" s="13" t="str">
        <x:v>F10-R2-CX</x:v>
      </x:c>
      <x:c r="B120" s="13" t="str">
        <x:f>IF(COUNTIFS('运行记录'!$A$7:$A$150,A120)=1,INDEX('运行记录'!$B$7:$B$150,MATCH(A120,'运行记录'!$A$7:$A$150,0)),"")</x:f>
        <x:v>F10-R2</x:v>
      </x:c>
      <x:c r="C120" s="13" t="str">
        <x:f>IF(COUNTIFS('运行记录'!$A$7:$A$150,A120)=1,INDEX('运行记录'!$C$7:$C$150,MATCH(A120,'运行记录'!$A$7:$A$150,0)),"")</x:f>
        <x:v>F10</x:v>
      </x:c>
      <x:c r="D120" s="13" t="str">
        <x:f>IF(COUNTIFS('运行记录'!$A$7:$A$150,A120)=1,INDEX('运行记录'!$E$7:$E$150,MATCH(A120,'运行记录'!$A$7:$A$150,0)),"")</x:f>
        <x:v>Codex</x:v>
      </x:c>
      <x:c r="E120" s="10"/>
      <x:c r="F120" s="56"/>
      <x:c r="G120" s="56"/>
      <x:c r="H120" s="56"/>
      <x:c r="I120" s="56"/>
      <x:c r="J120" s="56"/>
      <x:c r="K120" s="56"/>
      <x:c r="L120" s="56"/>
      <x:c r="M120" s="56"/>
      <x:c r="N120" s="50" t="str">
        <x:f>IF(O120="可比较",SUMPRODUCT(F120:M120,'试点设置'!$B$29:$I$29)*20,"")</x:f>
      </x:c>
      <x:c r="O120" s="13" t="str">
        <x:f>IF(COUNTA(E120:M120)+COUNTA(P120)=0,"待评分",IF(OR(COUNTIFS($A$7:$A$150,A120)&lt;&gt;1,COUNTIFS('运行记录'!$A$7:$A$150,A120)&lt;&gt;1),"ID重复或无效",IF(INDEX('运行记录'!$AE$7:$AE$150,MATCH(A120,'运行记录'!$A$7:$A$150,0))&lt;&gt;"纳入","运行记录未纳入",IF(OR(E120="",P120="",COUNT(F120:M120)&lt;&gt;8),"待补齐评分或证据",IF(OR(MIN(F120:M120)&lt;1,MAX(F120:M120)&gt;5,MOD(F120,1)&lt;&gt;0,MOD(G120,1)&lt;&gt;0,MOD(H120,1)&lt;&gt;0,MOD(I120,1)&lt;&gt;0,MOD(J120,1)&lt;&gt;0,MOD(K120,1)&lt;&gt;0,MOD(L120,1)&lt;&gt;0,MOD(M120,1)&lt;&gt;0),"分数须为1至5整数",IF(ABS('试点设置'!$C$31-1)&gt;0.000001,"权重非100%","可比较"))))))</x:f>
        <x:v>待评分</x:v>
      </x:c>
      <x:c r="P120" s="10"/>
      <x:c r="Q120" s="13" t="n">
        <x:f>IF(O120&lt;&gt;"可比较",0,INDEX('配对比较'!$K$7:$K$42,MATCH(B120,'配对比较'!$A$7:$A$42,0)))</x:f>
        <x:v>0</x:v>
      </x:c>
    </x:row>
    <x:row r="121" ht="25" customHeight="1">
      <x:c r="A121" s="13" t="str">
        <x:v>F10-R2-TR</x:v>
      </x:c>
      <x:c r="B121" s="13" t="str">
        <x:f>IF(COUNTIFS('运行记录'!$A$7:$A$150,A121)=1,INDEX('运行记录'!$B$7:$B$150,MATCH(A121,'运行记录'!$A$7:$A$150,0)),"")</x:f>
        <x:v>F10-R2</x:v>
      </x:c>
      <x:c r="C121" s="13" t="str">
        <x:f>IF(COUNTIFS('运行记录'!$A$7:$A$150,A121)=1,INDEX('运行记录'!$C$7:$C$150,MATCH(A121,'运行记录'!$A$7:$A$150,0)),"")</x:f>
        <x:v>F10</x:v>
      </x:c>
      <x:c r="D121" s="13" t="str">
        <x:f>IF(COUNTIFS('运行记录'!$A$7:$A$150,A121)=1,INDEX('运行记录'!$E$7:$E$150,MATCH(A121,'运行记录'!$A$7:$A$150,0)),"")</x:f>
        <x:v>Trae</x:v>
      </x:c>
      <x:c r="E121" s="10"/>
      <x:c r="F121" s="56"/>
      <x:c r="G121" s="56"/>
      <x:c r="H121" s="56"/>
      <x:c r="I121" s="56"/>
      <x:c r="J121" s="56"/>
      <x:c r="K121" s="56"/>
      <x:c r="L121" s="56"/>
      <x:c r="M121" s="56"/>
      <x:c r="N121" s="50" t="str">
        <x:f>IF(O121="可比较",SUMPRODUCT(F121:M121,'试点设置'!$B$29:$I$29)*20,"")</x:f>
      </x:c>
      <x:c r="O121" s="13" t="str">
        <x:f>IF(COUNTA(E121:M121)+COUNTA(P121)=0,"待评分",IF(OR(COUNTIFS($A$7:$A$150,A121)&lt;&gt;1,COUNTIFS('运行记录'!$A$7:$A$150,A121)&lt;&gt;1),"ID重复或无效",IF(INDEX('运行记录'!$AE$7:$AE$150,MATCH(A121,'运行记录'!$A$7:$A$150,0))&lt;&gt;"纳入","运行记录未纳入",IF(OR(E121="",P121="",COUNT(F121:M121)&lt;&gt;8),"待补齐评分或证据",IF(OR(MIN(F121:M121)&lt;1,MAX(F121:M121)&gt;5,MOD(F121,1)&lt;&gt;0,MOD(G121,1)&lt;&gt;0,MOD(H121,1)&lt;&gt;0,MOD(I121,1)&lt;&gt;0,MOD(J121,1)&lt;&gt;0,MOD(K121,1)&lt;&gt;0,MOD(L121,1)&lt;&gt;0,MOD(M121,1)&lt;&gt;0),"分数须为1至5整数",IF(ABS('试点设置'!$C$31-1)&gt;0.000001,"权重非100%","可比较"))))))</x:f>
        <x:v>待评分</x:v>
      </x:c>
      <x:c r="P121" s="10"/>
      <x:c r="Q121" s="13" t="n">
        <x:f>IF(O121&lt;&gt;"可比较",0,INDEX('配对比较'!$K$7:$K$42,MATCH(B121,'配对比较'!$A$7:$A$42,0)))</x:f>
        <x:v>0</x:v>
      </x:c>
    </x:row>
    <x:row r="122" ht="25" customHeight="1">
      <x:c r="A122" s="13" t="str">
        <x:v>F10-R2-CA</x:v>
      </x:c>
      <x:c r="B122" s="13" t="str">
        <x:f>IF(COUNTIFS('运行记录'!$A$7:$A$150,A122)=1,INDEX('运行记录'!$B$7:$B$150,MATCH(A122,'运行记录'!$A$7:$A$150,0)),"")</x:f>
        <x:v>F10-R2</x:v>
      </x:c>
      <x:c r="C122" s="13" t="str">
        <x:f>IF(COUNTIFS('运行记录'!$A$7:$A$150,A122)=1,INDEX('运行记录'!$C$7:$C$150,MATCH(A122,'运行记录'!$A$7:$A$150,0)),"")</x:f>
        <x:v>F10</x:v>
      </x:c>
      <x:c r="D122" s="13" t="str">
        <x:f>IF(COUNTIFS('运行记录'!$A$7:$A$150,A122)=1,INDEX('运行记录'!$E$7:$E$150,MATCH(A122,'运行记录'!$A$7:$A$150,0)),"")</x:f>
        <x:v>CodeArts</x:v>
      </x:c>
      <x:c r="E122" s="10"/>
      <x:c r="F122" s="56"/>
      <x:c r="G122" s="56"/>
      <x:c r="H122" s="56"/>
      <x:c r="I122" s="56"/>
      <x:c r="J122" s="56"/>
      <x:c r="K122" s="56"/>
      <x:c r="L122" s="56"/>
      <x:c r="M122" s="56"/>
      <x:c r="N122" s="50" t="str">
        <x:f>IF(O122="可比较",SUMPRODUCT(F122:M122,'试点设置'!$B$29:$I$29)*20,"")</x:f>
      </x:c>
      <x:c r="O122" s="13" t="str">
        <x:f>IF(COUNTA(E122:M122)+COUNTA(P122)=0,"待评分",IF(OR(COUNTIFS($A$7:$A$150,A122)&lt;&gt;1,COUNTIFS('运行记录'!$A$7:$A$150,A122)&lt;&gt;1),"ID重复或无效",IF(INDEX('运行记录'!$AE$7:$AE$150,MATCH(A122,'运行记录'!$A$7:$A$150,0))&lt;&gt;"纳入","运行记录未纳入",IF(OR(E122="",P122="",COUNT(F122:M122)&lt;&gt;8),"待补齐评分或证据",IF(OR(MIN(F122:M122)&lt;1,MAX(F122:M122)&gt;5,MOD(F122,1)&lt;&gt;0,MOD(G122,1)&lt;&gt;0,MOD(H122,1)&lt;&gt;0,MOD(I122,1)&lt;&gt;0,MOD(J122,1)&lt;&gt;0,MOD(K122,1)&lt;&gt;0,MOD(L122,1)&lt;&gt;0,MOD(M122,1)&lt;&gt;0),"分数须为1至5整数",IF(ABS('试点设置'!$C$31-1)&gt;0.000001,"权重非100%","可比较"))))))</x:f>
        <x:v>待评分</x:v>
      </x:c>
      <x:c r="P122" s="10"/>
      <x:c r="Q122" s="13" t="n">
        <x:f>IF(O122&lt;&gt;"可比较",0,INDEX('配对比较'!$K$7:$K$42,MATCH(B122,'配对比较'!$A$7:$A$42,0)))</x:f>
        <x:v>0</x:v>
      </x:c>
    </x:row>
    <x:row r="123" ht="25" customHeight="1">
      <x:c r="A123" s="13" t="str">
        <x:v>F10-R3-CC</x:v>
      </x:c>
      <x:c r="B123" s="13" t="str">
        <x:f>IF(COUNTIFS('运行记录'!$A$7:$A$150,A123)=1,INDEX('运行记录'!$B$7:$B$150,MATCH(A123,'运行记录'!$A$7:$A$150,0)),"")</x:f>
        <x:v>F10-R3</x:v>
      </x:c>
      <x:c r="C123" s="13" t="str">
        <x:f>IF(COUNTIFS('运行记录'!$A$7:$A$150,A123)=1,INDEX('运行记录'!$C$7:$C$150,MATCH(A123,'运行记录'!$A$7:$A$150,0)),"")</x:f>
        <x:v>F10</x:v>
      </x:c>
      <x:c r="D123" s="13" t="str">
        <x:f>IF(COUNTIFS('运行记录'!$A$7:$A$150,A123)=1,INDEX('运行记录'!$E$7:$E$150,MATCH(A123,'运行记录'!$A$7:$A$150,0)),"")</x:f>
        <x:v>Claude Code</x:v>
      </x:c>
      <x:c r="E123" s="10"/>
      <x:c r="F123" s="56"/>
      <x:c r="G123" s="56"/>
      <x:c r="H123" s="56"/>
      <x:c r="I123" s="56"/>
      <x:c r="J123" s="56"/>
      <x:c r="K123" s="56"/>
      <x:c r="L123" s="56"/>
      <x:c r="M123" s="56"/>
      <x:c r="N123" s="50" t="str">
        <x:f>IF(O123="可比较",SUMPRODUCT(F123:M123,'试点设置'!$B$29:$I$29)*20,"")</x:f>
      </x:c>
      <x:c r="O123" s="13" t="str">
        <x:f>IF(COUNTA(E123:M123)+COUNTA(P123)=0,"待评分",IF(OR(COUNTIFS($A$7:$A$150,A123)&lt;&gt;1,COUNTIFS('运行记录'!$A$7:$A$150,A123)&lt;&gt;1),"ID重复或无效",IF(INDEX('运行记录'!$AE$7:$AE$150,MATCH(A123,'运行记录'!$A$7:$A$150,0))&lt;&gt;"纳入","运行记录未纳入",IF(OR(E123="",P123="",COUNT(F123:M123)&lt;&gt;8),"待补齐评分或证据",IF(OR(MIN(F123:M123)&lt;1,MAX(F123:M123)&gt;5,MOD(F123,1)&lt;&gt;0,MOD(G123,1)&lt;&gt;0,MOD(H123,1)&lt;&gt;0,MOD(I123,1)&lt;&gt;0,MOD(J123,1)&lt;&gt;0,MOD(K123,1)&lt;&gt;0,MOD(L123,1)&lt;&gt;0,MOD(M123,1)&lt;&gt;0),"分数须为1至5整数",IF(ABS('试点设置'!$C$31-1)&gt;0.000001,"权重非100%","可比较"))))))</x:f>
        <x:v>待评分</x:v>
      </x:c>
      <x:c r="P123" s="10"/>
      <x:c r="Q123" s="13" t="n">
        <x:f>IF(O123&lt;&gt;"可比较",0,INDEX('配对比较'!$K$7:$K$42,MATCH(B123,'配对比较'!$A$7:$A$42,0)))</x:f>
        <x:v>0</x:v>
      </x:c>
    </x:row>
    <x:row r="124" ht="25" customHeight="1">
      <x:c r="A124" s="13" t="str">
        <x:v>F10-R3-CX</x:v>
      </x:c>
      <x:c r="B124" s="13" t="str">
        <x:f>IF(COUNTIFS('运行记录'!$A$7:$A$150,A124)=1,INDEX('运行记录'!$B$7:$B$150,MATCH(A124,'运行记录'!$A$7:$A$150,0)),"")</x:f>
        <x:v>F10-R3</x:v>
      </x:c>
      <x:c r="C124" s="13" t="str">
        <x:f>IF(COUNTIFS('运行记录'!$A$7:$A$150,A124)=1,INDEX('运行记录'!$C$7:$C$150,MATCH(A124,'运行记录'!$A$7:$A$150,0)),"")</x:f>
        <x:v>F10</x:v>
      </x:c>
      <x:c r="D124" s="13" t="str">
        <x:f>IF(COUNTIFS('运行记录'!$A$7:$A$150,A124)=1,INDEX('运行记录'!$E$7:$E$150,MATCH(A124,'运行记录'!$A$7:$A$150,0)),"")</x:f>
        <x:v>Codex</x:v>
      </x:c>
      <x:c r="E124" s="10"/>
      <x:c r="F124" s="56"/>
      <x:c r="G124" s="56"/>
      <x:c r="H124" s="56"/>
      <x:c r="I124" s="56"/>
      <x:c r="J124" s="56"/>
      <x:c r="K124" s="56"/>
      <x:c r="L124" s="56"/>
      <x:c r="M124" s="56"/>
      <x:c r="N124" s="50" t="str">
        <x:f>IF(O124="可比较",SUMPRODUCT(F124:M124,'试点设置'!$B$29:$I$29)*20,"")</x:f>
      </x:c>
      <x:c r="O124" s="13" t="str">
        <x:f>IF(COUNTA(E124:M124)+COUNTA(P124)=0,"待评分",IF(OR(COUNTIFS($A$7:$A$150,A124)&lt;&gt;1,COUNTIFS('运行记录'!$A$7:$A$150,A124)&lt;&gt;1),"ID重复或无效",IF(INDEX('运行记录'!$AE$7:$AE$150,MATCH(A124,'运行记录'!$A$7:$A$150,0))&lt;&gt;"纳入","运行记录未纳入",IF(OR(E124="",P124="",COUNT(F124:M124)&lt;&gt;8),"待补齐评分或证据",IF(OR(MIN(F124:M124)&lt;1,MAX(F124:M124)&gt;5,MOD(F124,1)&lt;&gt;0,MOD(G124,1)&lt;&gt;0,MOD(H124,1)&lt;&gt;0,MOD(I124,1)&lt;&gt;0,MOD(J124,1)&lt;&gt;0,MOD(K124,1)&lt;&gt;0,MOD(L124,1)&lt;&gt;0,MOD(M124,1)&lt;&gt;0),"分数须为1至5整数",IF(ABS('试点设置'!$C$31-1)&gt;0.000001,"权重非100%","可比较"))))))</x:f>
        <x:v>待评分</x:v>
      </x:c>
      <x:c r="P124" s="10"/>
      <x:c r="Q124" s="13" t="n">
        <x:f>IF(O124&lt;&gt;"可比较",0,INDEX('配对比较'!$K$7:$K$42,MATCH(B124,'配对比较'!$A$7:$A$42,0)))</x:f>
        <x:v>0</x:v>
      </x:c>
    </x:row>
    <x:row r="125" ht="25" customHeight="1">
      <x:c r="A125" s="13" t="str">
        <x:v>F10-R3-TR</x:v>
      </x:c>
      <x:c r="B125" s="13" t="str">
        <x:f>IF(COUNTIFS('运行记录'!$A$7:$A$150,A125)=1,INDEX('运行记录'!$B$7:$B$150,MATCH(A125,'运行记录'!$A$7:$A$150,0)),"")</x:f>
        <x:v>F10-R3</x:v>
      </x:c>
      <x:c r="C125" s="13" t="str">
        <x:f>IF(COUNTIFS('运行记录'!$A$7:$A$150,A125)=1,INDEX('运行记录'!$C$7:$C$150,MATCH(A125,'运行记录'!$A$7:$A$150,0)),"")</x:f>
        <x:v>F10</x:v>
      </x:c>
      <x:c r="D125" s="13" t="str">
        <x:f>IF(COUNTIFS('运行记录'!$A$7:$A$150,A125)=1,INDEX('运行记录'!$E$7:$E$150,MATCH(A125,'运行记录'!$A$7:$A$150,0)),"")</x:f>
        <x:v>Trae</x:v>
      </x:c>
      <x:c r="E125" s="10"/>
      <x:c r="F125" s="56"/>
      <x:c r="G125" s="56"/>
      <x:c r="H125" s="56"/>
      <x:c r="I125" s="56"/>
      <x:c r="J125" s="56"/>
      <x:c r="K125" s="56"/>
      <x:c r="L125" s="56"/>
      <x:c r="M125" s="56"/>
      <x:c r="N125" s="50" t="str">
        <x:f>IF(O125="可比较",SUMPRODUCT(F125:M125,'试点设置'!$B$29:$I$29)*20,"")</x:f>
      </x:c>
      <x:c r="O125" s="13" t="str">
        <x:f>IF(COUNTA(E125:M125)+COUNTA(P125)=0,"待评分",IF(OR(COUNTIFS($A$7:$A$150,A125)&lt;&gt;1,COUNTIFS('运行记录'!$A$7:$A$150,A125)&lt;&gt;1),"ID重复或无效",IF(INDEX('运行记录'!$AE$7:$AE$150,MATCH(A125,'运行记录'!$A$7:$A$150,0))&lt;&gt;"纳入","运行记录未纳入",IF(OR(E125="",P125="",COUNT(F125:M125)&lt;&gt;8),"待补齐评分或证据",IF(OR(MIN(F125:M125)&lt;1,MAX(F125:M125)&gt;5,MOD(F125,1)&lt;&gt;0,MOD(G125,1)&lt;&gt;0,MOD(H125,1)&lt;&gt;0,MOD(I125,1)&lt;&gt;0,MOD(J125,1)&lt;&gt;0,MOD(K125,1)&lt;&gt;0,MOD(L125,1)&lt;&gt;0,MOD(M125,1)&lt;&gt;0),"分数须为1至5整数",IF(ABS('试点设置'!$C$31-1)&gt;0.000001,"权重非100%","可比较"))))))</x:f>
        <x:v>待评分</x:v>
      </x:c>
      <x:c r="P125" s="10"/>
      <x:c r="Q125" s="13" t="n">
        <x:f>IF(O125&lt;&gt;"可比较",0,INDEX('配对比较'!$K$7:$K$42,MATCH(B125,'配对比较'!$A$7:$A$42,0)))</x:f>
        <x:v>0</x:v>
      </x:c>
    </x:row>
    <x:row r="126" ht="25" customHeight="1">
      <x:c r="A126" s="13" t="str">
        <x:v>F10-R3-CA</x:v>
      </x:c>
      <x:c r="B126" s="13" t="str">
        <x:f>IF(COUNTIFS('运行记录'!$A$7:$A$150,A126)=1,INDEX('运行记录'!$B$7:$B$150,MATCH(A126,'运行记录'!$A$7:$A$150,0)),"")</x:f>
        <x:v>F10-R3</x:v>
      </x:c>
      <x:c r="C126" s="13" t="str">
        <x:f>IF(COUNTIFS('运行记录'!$A$7:$A$150,A126)=1,INDEX('运行记录'!$C$7:$C$150,MATCH(A126,'运行记录'!$A$7:$A$150,0)),"")</x:f>
        <x:v>F10</x:v>
      </x:c>
      <x:c r="D126" s="13" t="str">
        <x:f>IF(COUNTIFS('运行记录'!$A$7:$A$150,A126)=1,INDEX('运行记录'!$E$7:$E$150,MATCH(A126,'运行记录'!$A$7:$A$150,0)),"")</x:f>
        <x:v>CodeArts</x:v>
      </x:c>
      <x:c r="E126" s="10"/>
      <x:c r="F126" s="56"/>
      <x:c r="G126" s="56"/>
      <x:c r="H126" s="56"/>
      <x:c r="I126" s="56"/>
      <x:c r="J126" s="56"/>
      <x:c r="K126" s="56"/>
      <x:c r="L126" s="56"/>
      <x:c r="M126" s="56"/>
      <x:c r="N126" s="50" t="str">
        <x:f>IF(O126="可比较",SUMPRODUCT(F126:M126,'试点设置'!$B$29:$I$29)*20,"")</x:f>
      </x:c>
      <x:c r="O126" s="13" t="str">
        <x:f>IF(COUNTA(E126:M126)+COUNTA(P126)=0,"待评分",IF(OR(COUNTIFS($A$7:$A$150,A126)&lt;&gt;1,COUNTIFS('运行记录'!$A$7:$A$150,A126)&lt;&gt;1),"ID重复或无效",IF(INDEX('运行记录'!$AE$7:$AE$150,MATCH(A126,'运行记录'!$A$7:$A$150,0))&lt;&gt;"纳入","运行记录未纳入",IF(OR(E126="",P126="",COUNT(F126:M126)&lt;&gt;8),"待补齐评分或证据",IF(OR(MIN(F126:M126)&lt;1,MAX(F126:M126)&gt;5,MOD(F126,1)&lt;&gt;0,MOD(G126,1)&lt;&gt;0,MOD(H126,1)&lt;&gt;0,MOD(I126,1)&lt;&gt;0,MOD(J126,1)&lt;&gt;0,MOD(K126,1)&lt;&gt;0,MOD(L126,1)&lt;&gt;0,MOD(M126,1)&lt;&gt;0),"分数须为1至5整数",IF(ABS('试点设置'!$C$31-1)&gt;0.000001,"权重非100%","可比较"))))))</x:f>
        <x:v>待评分</x:v>
      </x:c>
      <x:c r="P126" s="10"/>
      <x:c r="Q126" s="13" t="n">
        <x:f>IF(O126&lt;&gt;"可比较",0,INDEX('配对比较'!$K$7:$K$42,MATCH(B126,'配对比较'!$A$7:$A$42,0)))</x:f>
        <x:v>0</x:v>
      </x:c>
    </x:row>
    <x:row r="127" ht="25" customHeight="1">
      <x:c r="A127" s="13" t="str">
        <x:v>F11-R1-CC</x:v>
      </x:c>
      <x:c r="B127" s="13" t="str">
        <x:f>IF(COUNTIFS('运行记录'!$A$7:$A$150,A127)=1,INDEX('运行记录'!$B$7:$B$150,MATCH(A127,'运行记录'!$A$7:$A$150,0)),"")</x:f>
        <x:v>F11-R1</x:v>
      </x:c>
      <x:c r="C127" s="13" t="str">
        <x:f>IF(COUNTIFS('运行记录'!$A$7:$A$150,A127)=1,INDEX('运行记录'!$C$7:$C$150,MATCH(A127,'运行记录'!$A$7:$A$150,0)),"")</x:f>
        <x:v>F11</x:v>
      </x:c>
      <x:c r="D127" s="13" t="str">
        <x:f>IF(COUNTIFS('运行记录'!$A$7:$A$150,A127)=1,INDEX('运行记录'!$E$7:$E$150,MATCH(A127,'运行记录'!$A$7:$A$150,0)),"")</x:f>
        <x:v>Claude Code</x:v>
      </x:c>
      <x:c r="E127" s="10"/>
      <x:c r="F127" s="56"/>
      <x:c r="G127" s="56"/>
      <x:c r="H127" s="56"/>
      <x:c r="I127" s="56"/>
      <x:c r="J127" s="56"/>
      <x:c r="K127" s="56"/>
      <x:c r="L127" s="56"/>
      <x:c r="M127" s="56"/>
      <x:c r="N127" s="50" t="str">
        <x:f>IF(O127="可比较",SUMPRODUCT(F127:M127,'试点设置'!$B$29:$I$29)*20,"")</x:f>
      </x:c>
      <x:c r="O127" s="13" t="str">
        <x:f>IF(COUNTA(E127:M127)+COUNTA(P127)=0,"待评分",IF(OR(COUNTIFS($A$7:$A$150,A127)&lt;&gt;1,COUNTIFS('运行记录'!$A$7:$A$150,A127)&lt;&gt;1),"ID重复或无效",IF(INDEX('运行记录'!$AE$7:$AE$150,MATCH(A127,'运行记录'!$A$7:$A$150,0))&lt;&gt;"纳入","运行记录未纳入",IF(OR(E127="",P127="",COUNT(F127:M127)&lt;&gt;8),"待补齐评分或证据",IF(OR(MIN(F127:M127)&lt;1,MAX(F127:M127)&gt;5,MOD(F127,1)&lt;&gt;0,MOD(G127,1)&lt;&gt;0,MOD(H127,1)&lt;&gt;0,MOD(I127,1)&lt;&gt;0,MOD(J127,1)&lt;&gt;0,MOD(K127,1)&lt;&gt;0,MOD(L127,1)&lt;&gt;0,MOD(M127,1)&lt;&gt;0),"分数须为1至5整数",IF(ABS('试点设置'!$C$31-1)&gt;0.000001,"权重非100%","可比较"))))))</x:f>
        <x:v>待评分</x:v>
      </x:c>
      <x:c r="P127" s="10"/>
      <x:c r="Q127" s="13" t="n">
        <x:f>IF(O127&lt;&gt;"可比较",0,INDEX('配对比较'!$K$7:$K$42,MATCH(B127,'配对比较'!$A$7:$A$42,0)))</x:f>
        <x:v>0</x:v>
      </x:c>
    </x:row>
    <x:row r="128" ht="25" customHeight="1">
      <x:c r="A128" s="13" t="str">
        <x:v>F11-R1-CX</x:v>
      </x:c>
      <x:c r="B128" s="13" t="str">
        <x:f>IF(COUNTIFS('运行记录'!$A$7:$A$150,A128)=1,INDEX('运行记录'!$B$7:$B$150,MATCH(A128,'运行记录'!$A$7:$A$150,0)),"")</x:f>
        <x:v>F11-R1</x:v>
      </x:c>
      <x:c r="C128" s="13" t="str">
        <x:f>IF(COUNTIFS('运行记录'!$A$7:$A$150,A128)=1,INDEX('运行记录'!$C$7:$C$150,MATCH(A128,'运行记录'!$A$7:$A$150,0)),"")</x:f>
        <x:v>F11</x:v>
      </x:c>
      <x:c r="D128" s="13" t="str">
        <x:f>IF(COUNTIFS('运行记录'!$A$7:$A$150,A128)=1,INDEX('运行记录'!$E$7:$E$150,MATCH(A128,'运行记录'!$A$7:$A$150,0)),"")</x:f>
        <x:v>Codex</x:v>
      </x:c>
      <x:c r="E128" s="10"/>
      <x:c r="F128" s="56"/>
      <x:c r="G128" s="56"/>
      <x:c r="H128" s="56"/>
      <x:c r="I128" s="56"/>
      <x:c r="J128" s="56"/>
      <x:c r="K128" s="56"/>
      <x:c r="L128" s="56"/>
      <x:c r="M128" s="56"/>
      <x:c r="N128" s="50" t="str">
        <x:f>IF(O128="可比较",SUMPRODUCT(F128:M128,'试点设置'!$B$29:$I$29)*20,"")</x:f>
      </x:c>
      <x:c r="O128" s="13" t="str">
        <x:f>IF(COUNTA(E128:M128)+COUNTA(P128)=0,"待评分",IF(OR(COUNTIFS($A$7:$A$150,A128)&lt;&gt;1,COUNTIFS('运行记录'!$A$7:$A$150,A128)&lt;&gt;1),"ID重复或无效",IF(INDEX('运行记录'!$AE$7:$AE$150,MATCH(A128,'运行记录'!$A$7:$A$150,0))&lt;&gt;"纳入","运行记录未纳入",IF(OR(E128="",P128="",COUNT(F128:M128)&lt;&gt;8),"待补齐评分或证据",IF(OR(MIN(F128:M128)&lt;1,MAX(F128:M128)&gt;5,MOD(F128,1)&lt;&gt;0,MOD(G128,1)&lt;&gt;0,MOD(H128,1)&lt;&gt;0,MOD(I128,1)&lt;&gt;0,MOD(J128,1)&lt;&gt;0,MOD(K128,1)&lt;&gt;0,MOD(L128,1)&lt;&gt;0,MOD(M128,1)&lt;&gt;0),"分数须为1至5整数",IF(ABS('试点设置'!$C$31-1)&gt;0.000001,"权重非100%","可比较"))))))</x:f>
        <x:v>待评分</x:v>
      </x:c>
      <x:c r="P128" s="10"/>
      <x:c r="Q128" s="13" t="n">
        <x:f>IF(O128&lt;&gt;"可比较",0,INDEX('配对比较'!$K$7:$K$42,MATCH(B128,'配对比较'!$A$7:$A$42,0)))</x:f>
        <x:v>0</x:v>
      </x:c>
    </x:row>
    <x:row r="129" ht="25" customHeight="1">
      <x:c r="A129" s="13" t="str">
        <x:v>F11-R1-TR</x:v>
      </x:c>
      <x:c r="B129" s="13" t="str">
        <x:f>IF(COUNTIFS('运行记录'!$A$7:$A$150,A129)=1,INDEX('运行记录'!$B$7:$B$150,MATCH(A129,'运行记录'!$A$7:$A$150,0)),"")</x:f>
        <x:v>F11-R1</x:v>
      </x:c>
      <x:c r="C129" s="13" t="str">
        <x:f>IF(COUNTIFS('运行记录'!$A$7:$A$150,A129)=1,INDEX('运行记录'!$C$7:$C$150,MATCH(A129,'运行记录'!$A$7:$A$150,0)),"")</x:f>
        <x:v>F11</x:v>
      </x:c>
      <x:c r="D129" s="13" t="str">
        <x:f>IF(COUNTIFS('运行记录'!$A$7:$A$150,A129)=1,INDEX('运行记录'!$E$7:$E$150,MATCH(A129,'运行记录'!$A$7:$A$150,0)),"")</x:f>
        <x:v>Trae</x:v>
      </x:c>
      <x:c r="E129" s="10"/>
      <x:c r="F129" s="56"/>
      <x:c r="G129" s="56"/>
      <x:c r="H129" s="56"/>
      <x:c r="I129" s="56"/>
      <x:c r="J129" s="56"/>
      <x:c r="K129" s="56"/>
      <x:c r="L129" s="56"/>
      <x:c r="M129" s="56"/>
      <x:c r="N129" s="50" t="str">
        <x:f>IF(O129="可比较",SUMPRODUCT(F129:M129,'试点设置'!$B$29:$I$29)*20,"")</x:f>
      </x:c>
      <x:c r="O129" s="13" t="str">
        <x:f>IF(COUNTA(E129:M129)+COUNTA(P129)=0,"待评分",IF(OR(COUNTIFS($A$7:$A$150,A129)&lt;&gt;1,COUNTIFS('运行记录'!$A$7:$A$150,A129)&lt;&gt;1),"ID重复或无效",IF(INDEX('运行记录'!$AE$7:$AE$150,MATCH(A129,'运行记录'!$A$7:$A$150,0))&lt;&gt;"纳入","运行记录未纳入",IF(OR(E129="",P129="",COUNT(F129:M129)&lt;&gt;8),"待补齐评分或证据",IF(OR(MIN(F129:M129)&lt;1,MAX(F129:M129)&gt;5,MOD(F129,1)&lt;&gt;0,MOD(G129,1)&lt;&gt;0,MOD(H129,1)&lt;&gt;0,MOD(I129,1)&lt;&gt;0,MOD(J129,1)&lt;&gt;0,MOD(K129,1)&lt;&gt;0,MOD(L129,1)&lt;&gt;0,MOD(M129,1)&lt;&gt;0),"分数须为1至5整数",IF(ABS('试点设置'!$C$31-1)&gt;0.000001,"权重非100%","可比较"))))))</x:f>
        <x:v>待评分</x:v>
      </x:c>
      <x:c r="P129" s="10"/>
      <x:c r="Q129" s="13" t="n">
        <x:f>IF(O129&lt;&gt;"可比较",0,INDEX('配对比较'!$K$7:$K$42,MATCH(B129,'配对比较'!$A$7:$A$42,0)))</x:f>
        <x:v>0</x:v>
      </x:c>
    </x:row>
    <x:row r="130" ht="25" customHeight="1">
      <x:c r="A130" s="13" t="str">
        <x:v>F11-R1-CA</x:v>
      </x:c>
      <x:c r="B130" s="13" t="str">
        <x:f>IF(COUNTIFS('运行记录'!$A$7:$A$150,A130)=1,INDEX('运行记录'!$B$7:$B$150,MATCH(A130,'运行记录'!$A$7:$A$150,0)),"")</x:f>
        <x:v>F11-R1</x:v>
      </x:c>
      <x:c r="C130" s="13" t="str">
        <x:f>IF(COUNTIFS('运行记录'!$A$7:$A$150,A130)=1,INDEX('运行记录'!$C$7:$C$150,MATCH(A130,'运行记录'!$A$7:$A$150,0)),"")</x:f>
        <x:v>F11</x:v>
      </x:c>
      <x:c r="D130" s="13" t="str">
        <x:f>IF(COUNTIFS('运行记录'!$A$7:$A$150,A130)=1,INDEX('运行记录'!$E$7:$E$150,MATCH(A130,'运行记录'!$A$7:$A$150,0)),"")</x:f>
        <x:v>CodeArts</x:v>
      </x:c>
      <x:c r="E130" s="10"/>
      <x:c r="F130" s="56"/>
      <x:c r="G130" s="56"/>
      <x:c r="H130" s="56"/>
      <x:c r="I130" s="56"/>
      <x:c r="J130" s="56"/>
      <x:c r="K130" s="56"/>
      <x:c r="L130" s="56"/>
      <x:c r="M130" s="56"/>
      <x:c r="N130" s="50" t="str">
        <x:f>IF(O130="可比较",SUMPRODUCT(F130:M130,'试点设置'!$B$29:$I$29)*20,"")</x:f>
      </x:c>
      <x:c r="O130" s="13" t="str">
        <x:f>IF(COUNTA(E130:M130)+COUNTA(P130)=0,"待评分",IF(OR(COUNTIFS($A$7:$A$150,A130)&lt;&gt;1,COUNTIFS('运行记录'!$A$7:$A$150,A130)&lt;&gt;1),"ID重复或无效",IF(INDEX('运行记录'!$AE$7:$AE$150,MATCH(A130,'运行记录'!$A$7:$A$150,0))&lt;&gt;"纳入","运行记录未纳入",IF(OR(E130="",P130="",COUNT(F130:M130)&lt;&gt;8),"待补齐评分或证据",IF(OR(MIN(F130:M130)&lt;1,MAX(F130:M130)&gt;5,MOD(F130,1)&lt;&gt;0,MOD(G130,1)&lt;&gt;0,MOD(H130,1)&lt;&gt;0,MOD(I130,1)&lt;&gt;0,MOD(J130,1)&lt;&gt;0,MOD(K130,1)&lt;&gt;0,MOD(L130,1)&lt;&gt;0,MOD(M130,1)&lt;&gt;0),"分数须为1至5整数",IF(ABS('试点设置'!$C$31-1)&gt;0.000001,"权重非100%","可比较"))))))</x:f>
        <x:v>待评分</x:v>
      </x:c>
      <x:c r="P130" s="10"/>
      <x:c r="Q130" s="13" t="n">
        <x:f>IF(O130&lt;&gt;"可比较",0,INDEX('配对比较'!$K$7:$K$42,MATCH(B130,'配对比较'!$A$7:$A$42,0)))</x:f>
        <x:v>0</x:v>
      </x:c>
    </x:row>
    <x:row r="131" ht="25" customHeight="1">
      <x:c r="A131" s="13" t="str">
        <x:v>F11-R2-CC</x:v>
      </x:c>
      <x:c r="B131" s="13" t="str">
        <x:f>IF(COUNTIFS('运行记录'!$A$7:$A$150,A131)=1,INDEX('运行记录'!$B$7:$B$150,MATCH(A131,'运行记录'!$A$7:$A$150,0)),"")</x:f>
        <x:v>F11-R2</x:v>
      </x:c>
      <x:c r="C131" s="13" t="str">
        <x:f>IF(COUNTIFS('运行记录'!$A$7:$A$150,A131)=1,INDEX('运行记录'!$C$7:$C$150,MATCH(A131,'运行记录'!$A$7:$A$150,0)),"")</x:f>
        <x:v>F11</x:v>
      </x:c>
      <x:c r="D131" s="13" t="str">
        <x:f>IF(COUNTIFS('运行记录'!$A$7:$A$150,A131)=1,INDEX('运行记录'!$E$7:$E$150,MATCH(A131,'运行记录'!$A$7:$A$150,0)),"")</x:f>
        <x:v>Claude Code</x:v>
      </x:c>
      <x:c r="E131" s="10"/>
      <x:c r="F131" s="56"/>
      <x:c r="G131" s="56"/>
      <x:c r="H131" s="56"/>
      <x:c r="I131" s="56"/>
      <x:c r="J131" s="56"/>
      <x:c r="K131" s="56"/>
      <x:c r="L131" s="56"/>
      <x:c r="M131" s="56"/>
      <x:c r="N131" s="50" t="str">
        <x:f>IF(O131="可比较",SUMPRODUCT(F131:M131,'试点设置'!$B$29:$I$29)*20,"")</x:f>
      </x:c>
      <x:c r="O131" s="13" t="str">
        <x:f>IF(COUNTA(E131:M131)+COUNTA(P131)=0,"待评分",IF(OR(COUNTIFS($A$7:$A$150,A131)&lt;&gt;1,COUNTIFS('运行记录'!$A$7:$A$150,A131)&lt;&gt;1),"ID重复或无效",IF(INDEX('运行记录'!$AE$7:$AE$150,MATCH(A131,'运行记录'!$A$7:$A$150,0))&lt;&gt;"纳入","运行记录未纳入",IF(OR(E131="",P131="",COUNT(F131:M131)&lt;&gt;8),"待补齐评分或证据",IF(OR(MIN(F131:M131)&lt;1,MAX(F131:M131)&gt;5,MOD(F131,1)&lt;&gt;0,MOD(G131,1)&lt;&gt;0,MOD(H131,1)&lt;&gt;0,MOD(I131,1)&lt;&gt;0,MOD(J131,1)&lt;&gt;0,MOD(K131,1)&lt;&gt;0,MOD(L131,1)&lt;&gt;0,MOD(M131,1)&lt;&gt;0),"分数须为1至5整数",IF(ABS('试点设置'!$C$31-1)&gt;0.000001,"权重非100%","可比较"))))))</x:f>
        <x:v>待评分</x:v>
      </x:c>
      <x:c r="P131" s="10"/>
      <x:c r="Q131" s="13" t="n">
        <x:f>IF(O131&lt;&gt;"可比较",0,INDEX('配对比较'!$K$7:$K$42,MATCH(B131,'配对比较'!$A$7:$A$42,0)))</x:f>
        <x:v>0</x:v>
      </x:c>
    </x:row>
    <x:row r="132" ht="25" customHeight="1">
      <x:c r="A132" s="13" t="str">
        <x:v>F11-R2-CX</x:v>
      </x:c>
      <x:c r="B132" s="13" t="str">
        <x:f>IF(COUNTIFS('运行记录'!$A$7:$A$150,A132)=1,INDEX('运行记录'!$B$7:$B$150,MATCH(A132,'运行记录'!$A$7:$A$150,0)),"")</x:f>
        <x:v>F11-R2</x:v>
      </x:c>
      <x:c r="C132" s="13" t="str">
        <x:f>IF(COUNTIFS('运行记录'!$A$7:$A$150,A132)=1,INDEX('运行记录'!$C$7:$C$150,MATCH(A132,'运行记录'!$A$7:$A$150,0)),"")</x:f>
        <x:v>F11</x:v>
      </x:c>
      <x:c r="D132" s="13" t="str">
        <x:f>IF(COUNTIFS('运行记录'!$A$7:$A$150,A132)=1,INDEX('运行记录'!$E$7:$E$150,MATCH(A132,'运行记录'!$A$7:$A$150,0)),"")</x:f>
        <x:v>Codex</x:v>
      </x:c>
      <x:c r="E132" s="10"/>
      <x:c r="F132" s="56"/>
      <x:c r="G132" s="56"/>
      <x:c r="H132" s="56"/>
      <x:c r="I132" s="56"/>
      <x:c r="J132" s="56"/>
      <x:c r="K132" s="56"/>
      <x:c r="L132" s="56"/>
      <x:c r="M132" s="56"/>
      <x:c r="N132" s="50" t="str">
        <x:f>IF(O132="可比较",SUMPRODUCT(F132:M132,'试点设置'!$B$29:$I$29)*20,"")</x:f>
      </x:c>
      <x:c r="O132" s="13" t="str">
        <x:f>IF(COUNTA(E132:M132)+COUNTA(P132)=0,"待评分",IF(OR(COUNTIFS($A$7:$A$150,A132)&lt;&gt;1,COUNTIFS('运行记录'!$A$7:$A$150,A132)&lt;&gt;1),"ID重复或无效",IF(INDEX('运行记录'!$AE$7:$AE$150,MATCH(A132,'运行记录'!$A$7:$A$150,0))&lt;&gt;"纳入","运行记录未纳入",IF(OR(E132="",P132="",COUNT(F132:M132)&lt;&gt;8),"待补齐评分或证据",IF(OR(MIN(F132:M132)&lt;1,MAX(F132:M132)&gt;5,MOD(F132,1)&lt;&gt;0,MOD(G132,1)&lt;&gt;0,MOD(H132,1)&lt;&gt;0,MOD(I132,1)&lt;&gt;0,MOD(J132,1)&lt;&gt;0,MOD(K132,1)&lt;&gt;0,MOD(L132,1)&lt;&gt;0,MOD(M132,1)&lt;&gt;0),"分数须为1至5整数",IF(ABS('试点设置'!$C$31-1)&gt;0.000001,"权重非100%","可比较"))))))</x:f>
        <x:v>待评分</x:v>
      </x:c>
      <x:c r="P132" s="10"/>
      <x:c r="Q132" s="13" t="n">
        <x:f>IF(O132&lt;&gt;"可比较",0,INDEX('配对比较'!$K$7:$K$42,MATCH(B132,'配对比较'!$A$7:$A$42,0)))</x:f>
        <x:v>0</x:v>
      </x:c>
    </x:row>
    <x:row r="133" ht="25" customHeight="1">
      <x:c r="A133" s="13" t="str">
        <x:v>F11-R2-TR</x:v>
      </x:c>
      <x:c r="B133" s="13" t="str">
        <x:f>IF(COUNTIFS('运行记录'!$A$7:$A$150,A133)=1,INDEX('运行记录'!$B$7:$B$150,MATCH(A133,'运行记录'!$A$7:$A$150,0)),"")</x:f>
        <x:v>F11-R2</x:v>
      </x:c>
      <x:c r="C133" s="13" t="str">
        <x:f>IF(COUNTIFS('运行记录'!$A$7:$A$150,A133)=1,INDEX('运行记录'!$C$7:$C$150,MATCH(A133,'运行记录'!$A$7:$A$150,0)),"")</x:f>
        <x:v>F11</x:v>
      </x:c>
      <x:c r="D133" s="13" t="str">
        <x:f>IF(COUNTIFS('运行记录'!$A$7:$A$150,A133)=1,INDEX('运行记录'!$E$7:$E$150,MATCH(A133,'运行记录'!$A$7:$A$150,0)),"")</x:f>
        <x:v>Trae</x:v>
      </x:c>
      <x:c r="E133" s="10"/>
      <x:c r="F133" s="56"/>
      <x:c r="G133" s="56"/>
      <x:c r="H133" s="56"/>
      <x:c r="I133" s="56"/>
      <x:c r="J133" s="56"/>
      <x:c r="K133" s="56"/>
      <x:c r="L133" s="56"/>
      <x:c r="M133" s="56"/>
      <x:c r="N133" s="50" t="str">
        <x:f>IF(O133="可比较",SUMPRODUCT(F133:M133,'试点设置'!$B$29:$I$29)*20,"")</x:f>
      </x:c>
      <x:c r="O133" s="13" t="str">
        <x:f>IF(COUNTA(E133:M133)+COUNTA(P133)=0,"待评分",IF(OR(COUNTIFS($A$7:$A$150,A133)&lt;&gt;1,COUNTIFS('运行记录'!$A$7:$A$150,A133)&lt;&gt;1),"ID重复或无效",IF(INDEX('运行记录'!$AE$7:$AE$150,MATCH(A133,'运行记录'!$A$7:$A$150,0))&lt;&gt;"纳入","运行记录未纳入",IF(OR(E133="",P133="",COUNT(F133:M133)&lt;&gt;8),"待补齐评分或证据",IF(OR(MIN(F133:M133)&lt;1,MAX(F133:M133)&gt;5,MOD(F133,1)&lt;&gt;0,MOD(G133,1)&lt;&gt;0,MOD(H133,1)&lt;&gt;0,MOD(I133,1)&lt;&gt;0,MOD(J133,1)&lt;&gt;0,MOD(K133,1)&lt;&gt;0,MOD(L133,1)&lt;&gt;0,MOD(M133,1)&lt;&gt;0),"分数须为1至5整数",IF(ABS('试点设置'!$C$31-1)&gt;0.000001,"权重非100%","可比较"))))))</x:f>
        <x:v>待评分</x:v>
      </x:c>
      <x:c r="P133" s="10"/>
      <x:c r="Q133" s="13" t="n">
        <x:f>IF(O133&lt;&gt;"可比较",0,INDEX('配对比较'!$K$7:$K$42,MATCH(B133,'配对比较'!$A$7:$A$42,0)))</x:f>
        <x:v>0</x:v>
      </x:c>
    </x:row>
    <x:row r="134" ht="25" customHeight="1">
      <x:c r="A134" s="13" t="str">
        <x:v>F11-R2-CA</x:v>
      </x:c>
      <x:c r="B134" s="13" t="str">
        <x:f>IF(COUNTIFS('运行记录'!$A$7:$A$150,A134)=1,INDEX('运行记录'!$B$7:$B$150,MATCH(A134,'运行记录'!$A$7:$A$150,0)),"")</x:f>
        <x:v>F11-R2</x:v>
      </x:c>
      <x:c r="C134" s="13" t="str">
        <x:f>IF(COUNTIFS('运行记录'!$A$7:$A$150,A134)=1,INDEX('运行记录'!$C$7:$C$150,MATCH(A134,'运行记录'!$A$7:$A$150,0)),"")</x:f>
        <x:v>F11</x:v>
      </x:c>
      <x:c r="D134" s="13" t="str">
        <x:f>IF(COUNTIFS('运行记录'!$A$7:$A$150,A134)=1,INDEX('运行记录'!$E$7:$E$150,MATCH(A134,'运行记录'!$A$7:$A$150,0)),"")</x:f>
        <x:v>CodeArts</x:v>
      </x:c>
      <x:c r="E134" s="10"/>
      <x:c r="F134" s="56"/>
      <x:c r="G134" s="56"/>
      <x:c r="H134" s="56"/>
      <x:c r="I134" s="56"/>
      <x:c r="J134" s="56"/>
      <x:c r="K134" s="56"/>
      <x:c r="L134" s="56"/>
      <x:c r="M134" s="56"/>
      <x:c r="N134" s="50" t="str">
        <x:f>IF(O134="可比较",SUMPRODUCT(F134:M134,'试点设置'!$B$29:$I$29)*20,"")</x:f>
      </x:c>
      <x:c r="O134" s="13" t="str">
        <x:f>IF(COUNTA(E134:M134)+COUNTA(P134)=0,"待评分",IF(OR(COUNTIFS($A$7:$A$150,A134)&lt;&gt;1,COUNTIFS('运行记录'!$A$7:$A$150,A134)&lt;&gt;1),"ID重复或无效",IF(INDEX('运行记录'!$AE$7:$AE$150,MATCH(A134,'运行记录'!$A$7:$A$150,0))&lt;&gt;"纳入","运行记录未纳入",IF(OR(E134="",P134="",COUNT(F134:M134)&lt;&gt;8),"待补齐评分或证据",IF(OR(MIN(F134:M134)&lt;1,MAX(F134:M134)&gt;5,MOD(F134,1)&lt;&gt;0,MOD(G134,1)&lt;&gt;0,MOD(H134,1)&lt;&gt;0,MOD(I134,1)&lt;&gt;0,MOD(J134,1)&lt;&gt;0,MOD(K134,1)&lt;&gt;0,MOD(L134,1)&lt;&gt;0,MOD(M134,1)&lt;&gt;0),"分数须为1至5整数",IF(ABS('试点设置'!$C$31-1)&gt;0.000001,"权重非100%","可比较"))))))</x:f>
        <x:v>待评分</x:v>
      </x:c>
      <x:c r="P134" s="10"/>
      <x:c r="Q134" s="13" t="n">
        <x:f>IF(O134&lt;&gt;"可比较",0,INDEX('配对比较'!$K$7:$K$42,MATCH(B134,'配对比较'!$A$7:$A$42,0)))</x:f>
        <x:v>0</x:v>
      </x:c>
    </x:row>
    <x:row r="135" ht="25" customHeight="1">
      <x:c r="A135" s="13" t="str">
        <x:v>F11-R3-CC</x:v>
      </x:c>
      <x:c r="B135" s="13" t="str">
        <x:f>IF(COUNTIFS('运行记录'!$A$7:$A$150,A135)=1,INDEX('运行记录'!$B$7:$B$150,MATCH(A135,'运行记录'!$A$7:$A$150,0)),"")</x:f>
        <x:v>F11-R3</x:v>
      </x:c>
      <x:c r="C135" s="13" t="str">
        <x:f>IF(COUNTIFS('运行记录'!$A$7:$A$150,A135)=1,INDEX('运行记录'!$C$7:$C$150,MATCH(A135,'运行记录'!$A$7:$A$150,0)),"")</x:f>
        <x:v>F11</x:v>
      </x:c>
      <x:c r="D135" s="13" t="str">
        <x:f>IF(COUNTIFS('运行记录'!$A$7:$A$150,A135)=1,INDEX('运行记录'!$E$7:$E$150,MATCH(A135,'运行记录'!$A$7:$A$150,0)),"")</x:f>
        <x:v>Claude Code</x:v>
      </x:c>
      <x:c r="E135" s="10"/>
      <x:c r="F135" s="56"/>
      <x:c r="G135" s="56"/>
      <x:c r="H135" s="56"/>
      <x:c r="I135" s="56"/>
      <x:c r="J135" s="56"/>
      <x:c r="K135" s="56"/>
      <x:c r="L135" s="56"/>
      <x:c r="M135" s="56"/>
      <x:c r="N135" s="50" t="str">
        <x:f>IF(O135="可比较",SUMPRODUCT(F135:M135,'试点设置'!$B$29:$I$29)*20,"")</x:f>
      </x:c>
      <x:c r="O135" s="13" t="str">
        <x:f>IF(COUNTA(E135:M135)+COUNTA(P135)=0,"待评分",IF(OR(COUNTIFS($A$7:$A$150,A135)&lt;&gt;1,COUNTIFS('运行记录'!$A$7:$A$150,A135)&lt;&gt;1),"ID重复或无效",IF(INDEX('运行记录'!$AE$7:$AE$150,MATCH(A135,'运行记录'!$A$7:$A$150,0))&lt;&gt;"纳入","运行记录未纳入",IF(OR(E135="",P135="",COUNT(F135:M135)&lt;&gt;8),"待补齐评分或证据",IF(OR(MIN(F135:M135)&lt;1,MAX(F135:M135)&gt;5,MOD(F135,1)&lt;&gt;0,MOD(G135,1)&lt;&gt;0,MOD(H135,1)&lt;&gt;0,MOD(I135,1)&lt;&gt;0,MOD(J135,1)&lt;&gt;0,MOD(K135,1)&lt;&gt;0,MOD(L135,1)&lt;&gt;0,MOD(M135,1)&lt;&gt;0),"分数须为1至5整数",IF(ABS('试点设置'!$C$31-1)&gt;0.000001,"权重非100%","可比较"))))))</x:f>
        <x:v>待评分</x:v>
      </x:c>
      <x:c r="P135" s="10"/>
      <x:c r="Q135" s="13" t="n">
        <x:f>IF(O135&lt;&gt;"可比较",0,INDEX('配对比较'!$K$7:$K$42,MATCH(B135,'配对比较'!$A$7:$A$42,0)))</x:f>
        <x:v>0</x:v>
      </x:c>
    </x:row>
    <x:row r="136" ht="25" customHeight="1">
      <x:c r="A136" s="13" t="str">
        <x:v>F11-R3-CX</x:v>
      </x:c>
      <x:c r="B136" s="13" t="str">
        <x:f>IF(COUNTIFS('运行记录'!$A$7:$A$150,A136)=1,INDEX('运行记录'!$B$7:$B$150,MATCH(A136,'运行记录'!$A$7:$A$150,0)),"")</x:f>
        <x:v>F11-R3</x:v>
      </x:c>
      <x:c r="C136" s="13" t="str">
        <x:f>IF(COUNTIFS('运行记录'!$A$7:$A$150,A136)=1,INDEX('运行记录'!$C$7:$C$150,MATCH(A136,'运行记录'!$A$7:$A$150,0)),"")</x:f>
        <x:v>F11</x:v>
      </x:c>
      <x:c r="D136" s="13" t="str">
        <x:f>IF(COUNTIFS('运行记录'!$A$7:$A$150,A136)=1,INDEX('运行记录'!$E$7:$E$150,MATCH(A136,'运行记录'!$A$7:$A$150,0)),"")</x:f>
        <x:v>Codex</x:v>
      </x:c>
      <x:c r="E136" s="10"/>
      <x:c r="F136" s="56"/>
      <x:c r="G136" s="56"/>
      <x:c r="H136" s="56"/>
      <x:c r="I136" s="56"/>
      <x:c r="J136" s="56"/>
      <x:c r="K136" s="56"/>
      <x:c r="L136" s="56"/>
      <x:c r="M136" s="56"/>
      <x:c r="N136" s="50" t="str">
        <x:f>IF(O136="可比较",SUMPRODUCT(F136:M136,'试点设置'!$B$29:$I$29)*20,"")</x:f>
      </x:c>
      <x:c r="O136" s="13" t="str">
        <x:f>IF(COUNTA(E136:M136)+COUNTA(P136)=0,"待评分",IF(OR(COUNTIFS($A$7:$A$150,A136)&lt;&gt;1,COUNTIFS('运行记录'!$A$7:$A$150,A136)&lt;&gt;1),"ID重复或无效",IF(INDEX('运行记录'!$AE$7:$AE$150,MATCH(A136,'运行记录'!$A$7:$A$150,0))&lt;&gt;"纳入","运行记录未纳入",IF(OR(E136="",P136="",COUNT(F136:M136)&lt;&gt;8),"待补齐评分或证据",IF(OR(MIN(F136:M136)&lt;1,MAX(F136:M136)&gt;5,MOD(F136,1)&lt;&gt;0,MOD(G136,1)&lt;&gt;0,MOD(H136,1)&lt;&gt;0,MOD(I136,1)&lt;&gt;0,MOD(J136,1)&lt;&gt;0,MOD(K136,1)&lt;&gt;0,MOD(L136,1)&lt;&gt;0,MOD(M136,1)&lt;&gt;0),"分数须为1至5整数",IF(ABS('试点设置'!$C$31-1)&gt;0.000001,"权重非100%","可比较"))))))</x:f>
        <x:v>待评分</x:v>
      </x:c>
      <x:c r="P136" s="10"/>
      <x:c r="Q136" s="13" t="n">
        <x:f>IF(O136&lt;&gt;"可比较",0,INDEX('配对比较'!$K$7:$K$42,MATCH(B136,'配对比较'!$A$7:$A$42,0)))</x:f>
        <x:v>0</x:v>
      </x:c>
    </x:row>
    <x:row r="137" ht="25" customHeight="1">
      <x:c r="A137" s="13" t="str">
        <x:v>F11-R3-TR</x:v>
      </x:c>
      <x:c r="B137" s="13" t="str">
        <x:f>IF(COUNTIFS('运行记录'!$A$7:$A$150,A137)=1,INDEX('运行记录'!$B$7:$B$150,MATCH(A137,'运行记录'!$A$7:$A$150,0)),"")</x:f>
        <x:v>F11-R3</x:v>
      </x:c>
      <x:c r="C137" s="13" t="str">
        <x:f>IF(COUNTIFS('运行记录'!$A$7:$A$150,A137)=1,INDEX('运行记录'!$C$7:$C$150,MATCH(A137,'运行记录'!$A$7:$A$150,0)),"")</x:f>
        <x:v>F11</x:v>
      </x:c>
      <x:c r="D137" s="13" t="str">
        <x:f>IF(COUNTIFS('运行记录'!$A$7:$A$150,A137)=1,INDEX('运行记录'!$E$7:$E$150,MATCH(A137,'运行记录'!$A$7:$A$150,0)),"")</x:f>
        <x:v>Trae</x:v>
      </x:c>
      <x:c r="E137" s="10"/>
      <x:c r="F137" s="56"/>
      <x:c r="G137" s="56"/>
      <x:c r="H137" s="56"/>
      <x:c r="I137" s="56"/>
      <x:c r="J137" s="56"/>
      <x:c r="K137" s="56"/>
      <x:c r="L137" s="56"/>
      <x:c r="M137" s="56"/>
      <x:c r="N137" s="50" t="str">
        <x:f>IF(O137="可比较",SUMPRODUCT(F137:M137,'试点设置'!$B$29:$I$29)*20,"")</x:f>
      </x:c>
      <x:c r="O137" s="13" t="str">
        <x:f>IF(COUNTA(E137:M137)+COUNTA(P137)=0,"待评分",IF(OR(COUNTIFS($A$7:$A$150,A137)&lt;&gt;1,COUNTIFS('运行记录'!$A$7:$A$150,A137)&lt;&gt;1),"ID重复或无效",IF(INDEX('运行记录'!$AE$7:$AE$150,MATCH(A137,'运行记录'!$A$7:$A$150,0))&lt;&gt;"纳入","运行记录未纳入",IF(OR(E137="",P137="",COUNT(F137:M137)&lt;&gt;8),"待补齐评分或证据",IF(OR(MIN(F137:M137)&lt;1,MAX(F137:M137)&gt;5,MOD(F137,1)&lt;&gt;0,MOD(G137,1)&lt;&gt;0,MOD(H137,1)&lt;&gt;0,MOD(I137,1)&lt;&gt;0,MOD(J137,1)&lt;&gt;0,MOD(K137,1)&lt;&gt;0,MOD(L137,1)&lt;&gt;0,MOD(M137,1)&lt;&gt;0),"分数须为1至5整数",IF(ABS('试点设置'!$C$31-1)&gt;0.000001,"权重非100%","可比较"))))))</x:f>
        <x:v>待评分</x:v>
      </x:c>
      <x:c r="P137" s="10"/>
      <x:c r="Q137" s="13" t="n">
        <x:f>IF(O137&lt;&gt;"可比较",0,INDEX('配对比较'!$K$7:$K$42,MATCH(B137,'配对比较'!$A$7:$A$42,0)))</x:f>
        <x:v>0</x:v>
      </x:c>
    </x:row>
    <x:row r="138" ht="25" customHeight="1">
      <x:c r="A138" s="13" t="str">
        <x:v>F11-R3-CA</x:v>
      </x:c>
      <x:c r="B138" s="13" t="str">
        <x:f>IF(COUNTIFS('运行记录'!$A$7:$A$150,A138)=1,INDEX('运行记录'!$B$7:$B$150,MATCH(A138,'运行记录'!$A$7:$A$150,0)),"")</x:f>
        <x:v>F11-R3</x:v>
      </x:c>
      <x:c r="C138" s="13" t="str">
        <x:f>IF(COUNTIFS('运行记录'!$A$7:$A$150,A138)=1,INDEX('运行记录'!$C$7:$C$150,MATCH(A138,'运行记录'!$A$7:$A$150,0)),"")</x:f>
        <x:v>F11</x:v>
      </x:c>
      <x:c r="D138" s="13" t="str">
        <x:f>IF(COUNTIFS('运行记录'!$A$7:$A$150,A138)=1,INDEX('运行记录'!$E$7:$E$150,MATCH(A138,'运行记录'!$A$7:$A$150,0)),"")</x:f>
        <x:v>CodeArts</x:v>
      </x:c>
      <x:c r="E138" s="10"/>
      <x:c r="F138" s="56"/>
      <x:c r="G138" s="56"/>
      <x:c r="H138" s="56"/>
      <x:c r="I138" s="56"/>
      <x:c r="J138" s="56"/>
      <x:c r="K138" s="56"/>
      <x:c r="L138" s="56"/>
      <x:c r="M138" s="56"/>
      <x:c r="N138" s="50" t="str">
        <x:f>IF(O138="可比较",SUMPRODUCT(F138:M138,'试点设置'!$B$29:$I$29)*20,"")</x:f>
      </x:c>
      <x:c r="O138" s="13" t="str">
        <x:f>IF(COUNTA(E138:M138)+COUNTA(P138)=0,"待评分",IF(OR(COUNTIFS($A$7:$A$150,A138)&lt;&gt;1,COUNTIFS('运行记录'!$A$7:$A$150,A138)&lt;&gt;1),"ID重复或无效",IF(INDEX('运行记录'!$AE$7:$AE$150,MATCH(A138,'运行记录'!$A$7:$A$150,0))&lt;&gt;"纳入","运行记录未纳入",IF(OR(E138="",P138="",COUNT(F138:M138)&lt;&gt;8),"待补齐评分或证据",IF(OR(MIN(F138:M138)&lt;1,MAX(F138:M138)&gt;5,MOD(F138,1)&lt;&gt;0,MOD(G138,1)&lt;&gt;0,MOD(H138,1)&lt;&gt;0,MOD(I138,1)&lt;&gt;0,MOD(J138,1)&lt;&gt;0,MOD(K138,1)&lt;&gt;0,MOD(L138,1)&lt;&gt;0,MOD(M138,1)&lt;&gt;0),"分数须为1至5整数",IF(ABS('试点设置'!$C$31-1)&gt;0.000001,"权重非100%","可比较"))))))</x:f>
        <x:v>待评分</x:v>
      </x:c>
      <x:c r="P138" s="10"/>
      <x:c r="Q138" s="13" t="n">
        <x:f>IF(O138&lt;&gt;"可比较",0,INDEX('配对比较'!$K$7:$K$42,MATCH(B138,'配对比较'!$A$7:$A$42,0)))</x:f>
        <x:v>0</x:v>
      </x:c>
    </x:row>
    <x:row r="139" ht="25" customHeight="1">
      <x:c r="A139" s="13" t="str">
        <x:v>F12-R1-CC</x:v>
      </x:c>
      <x:c r="B139" s="13" t="str">
        <x:f>IF(COUNTIFS('运行记录'!$A$7:$A$150,A139)=1,INDEX('运行记录'!$B$7:$B$150,MATCH(A139,'运行记录'!$A$7:$A$150,0)),"")</x:f>
        <x:v>F12-R1</x:v>
      </x:c>
      <x:c r="C139" s="13" t="str">
        <x:f>IF(COUNTIFS('运行记录'!$A$7:$A$150,A139)=1,INDEX('运行记录'!$C$7:$C$150,MATCH(A139,'运行记录'!$A$7:$A$150,0)),"")</x:f>
        <x:v>F12</x:v>
      </x:c>
      <x:c r="D139" s="13" t="str">
        <x:f>IF(COUNTIFS('运行记录'!$A$7:$A$150,A139)=1,INDEX('运行记录'!$E$7:$E$150,MATCH(A139,'运行记录'!$A$7:$A$150,0)),"")</x:f>
        <x:v>Claude Code</x:v>
      </x:c>
      <x:c r="E139" s="10"/>
      <x:c r="F139" s="56"/>
      <x:c r="G139" s="56"/>
      <x:c r="H139" s="56"/>
      <x:c r="I139" s="56"/>
      <x:c r="J139" s="56"/>
      <x:c r="K139" s="56"/>
      <x:c r="L139" s="56"/>
      <x:c r="M139" s="56"/>
      <x:c r="N139" s="50" t="str">
        <x:f>IF(O139="可比较",SUMPRODUCT(F139:M139,'试点设置'!$B$29:$I$29)*20,"")</x:f>
      </x:c>
      <x:c r="O139" s="13" t="str">
        <x:f>IF(COUNTA(E139:M139)+COUNTA(P139)=0,"待评分",IF(OR(COUNTIFS($A$7:$A$150,A139)&lt;&gt;1,COUNTIFS('运行记录'!$A$7:$A$150,A139)&lt;&gt;1),"ID重复或无效",IF(INDEX('运行记录'!$AE$7:$AE$150,MATCH(A139,'运行记录'!$A$7:$A$150,0))&lt;&gt;"纳入","运行记录未纳入",IF(OR(E139="",P139="",COUNT(F139:M139)&lt;&gt;8),"待补齐评分或证据",IF(OR(MIN(F139:M139)&lt;1,MAX(F139:M139)&gt;5,MOD(F139,1)&lt;&gt;0,MOD(G139,1)&lt;&gt;0,MOD(H139,1)&lt;&gt;0,MOD(I139,1)&lt;&gt;0,MOD(J139,1)&lt;&gt;0,MOD(K139,1)&lt;&gt;0,MOD(L139,1)&lt;&gt;0,MOD(M139,1)&lt;&gt;0),"分数须为1至5整数",IF(ABS('试点设置'!$C$31-1)&gt;0.000001,"权重非100%","可比较"))))))</x:f>
        <x:v>待评分</x:v>
      </x:c>
      <x:c r="P139" s="10"/>
      <x:c r="Q139" s="13" t="n">
        <x:f>IF(O139&lt;&gt;"可比较",0,INDEX('配对比较'!$K$7:$K$42,MATCH(B139,'配对比较'!$A$7:$A$42,0)))</x:f>
        <x:v>0</x:v>
      </x:c>
    </x:row>
    <x:row r="140" ht="25" customHeight="1">
      <x:c r="A140" s="13" t="str">
        <x:v>F12-R1-CX</x:v>
      </x:c>
      <x:c r="B140" s="13" t="str">
        <x:f>IF(COUNTIFS('运行记录'!$A$7:$A$150,A140)=1,INDEX('运行记录'!$B$7:$B$150,MATCH(A140,'运行记录'!$A$7:$A$150,0)),"")</x:f>
        <x:v>F12-R1</x:v>
      </x:c>
      <x:c r="C140" s="13" t="str">
        <x:f>IF(COUNTIFS('运行记录'!$A$7:$A$150,A140)=1,INDEX('运行记录'!$C$7:$C$150,MATCH(A140,'运行记录'!$A$7:$A$150,0)),"")</x:f>
        <x:v>F12</x:v>
      </x:c>
      <x:c r="D140" s="13" t="str">
        <x:f>IF(COUNTIFS('运行记录'!$A$7:$A$150,A140)=1,INDEX('运行记录'!$E$7:$E$150,MATCH(A140,'运行记录'!$A$7:$A$150,0)),"")</x:f>
        <x:v>Codex</x:v>
      </x:c>
      <x:c r="E140" s="10"/>
      <x:c r="F140" s="56"/>
      <x:c r="G140" s="56"/>
      <x:c r="H140" s="56"/>
      <x:c r="I140" s="56"/>
      <x:c r="J140" s="56"/>
      <x:c r="K140" s="56"/>
      <x:c r="L140" s="56"/>
      <x:c r="M140" s="56"/>
      <x:c r="N140" s="50" t="str">
        <x:f>IF(O140="可比较",SUMPRODUCT(F140:M140,'试点设置'!$B$29:$I$29)*20,"")</x:f>
      </x:c>
      <x:c r="O140" s="13" t="str">
        <x:f>IF(COUNTA(E140:M140)+COUNTA(P140)=0,"待评分",IF(OR(COUNTIFS($A$7:$A$150,A140)&lt;&gt;1,COUNTIFS('运行记录'!$A$7:$A$150,A140)&lt;&gt;1),"ID重复或无效",IF(INDEX('运行记录'!$AE$7:$AE$150,MATCH(A140,'运行记录'!$A$7:$A$150,0))&lt;&gt;"纳入","运行记录未纳入",IF(OR(E140="",P140="",COUNT(F140:M140)&lt;&gt;8),"待补齐评分或证据",IF(OR(MIN(F140:M140)&lt;1,MAX(F140:M140)&gt;5,MOD(F140,1)&lt;&gt;0,MOD(G140,1)&lt;&gt;0,MOD(H140,1)&lt;&gt;0,MOD(I140,1)&lt;&gt;0,MOD(J140,1)&lt;&gt;0,MOD(K140,1)&lt;&gt;0,MOD(L140,1)&lt;&gt;0,MOD(M140,1)&lt;&gt;0),"分数须为1至5整数",IF(ABS('试点设置'!$C$31-1)&gt;0.000001,"权重非100%","可比较"))))))</x:f>
        <x:v>待评分</x:v>
      </x:c>
      <x:c r="P140" s="10"/>
      <x:c r="Q140" s="13" t="n">
        <x:f>IF(O140&lt;&gt;"可比较",0,INDEX('配对比较'!$K$7:$K$42,MATCH(B140,'配对比较'!$A$7:$A$42,0)))</x:f>
        <x:v>0</x:v>
      </x:c>
    </x:row>
    <x:row r="141" ht="25" customHeight="1">
      <x:c r="A141" s="13" t="str">
        <x:v>F12-R1-TR</x:v>
      </x:c>
      <x:c r="B141" s="13" t="str">
        <x:f>IF(COUNTIFS('运行记录'!$A$7:$A$150,A141)=1,INDEX('运行记录'!$B$7:$B$150,MATCH(A141,'运行记录'!$A$7:$A$150,0)),"")</x:f>
        <x:v>F12-R1</x:v>
      </x:c>
      <x:c r="C141" s="13" t="str">
        <x:f>IF(COUNTIFS('运行记录'!$A$7:$A$150,A141)=1,INDEX('运行记录'!$C$7:$C$150,MATCH(A141,'运行记录'!$A$7:$A$150,0)),"")</x:f>
        <x:v>F12</x:v>
      </x:c>
      <x:c r="D141" s="13" t="str">
        <x:f>IF(COUNTIFS('运行记录'!$A$7:$A$150,A141)=1,INDEX('运行记录'!$E$7:$E$150,MATCH(A141,'运行记录'!$A$7:$A$150,0)),"")</x:f>
        <x:v>Trae</x:v>
      </x:c>
      <x:c r="E141" s="10"/>
      <x:c r="F141" s="56"/>
      <x:c r="G141" s="56"/>
      <x:c r="H141" s="56"/>
      <x:c r="I141" s="56"/>
      <x:c r="J141" s="56"/>
      <x:c r="K141" s="56"/>
      <x:c r="L141" s="56"/>
      <x:c r="M141" s="56"/>
      <x:c r="N141" s="50" t="str">
        <x:f>IF(O141="可比较",SUMPRODUCT(F141:M141,'试点设置'!$B$29:$I$29)*20,"")</x:f>
      </x:c>
      <x:c r="O141" s="13" t="str">
        <x:f>IF(COUNTA(E141:M141)+COUNTA(P141)=0,"待评分",IF(OR(COUNTIFS($A$7:$A$150,A141)&lt;&gt;1,COUNTIFS('运行记录'!$A$7:$A$150,A141)&lt;&gt;1),"ID重复或无效",IF(INDEX('运行记录'!$AE$7:$AE$150,MATCH(A141,'运行记录'!$A$7:$A$150,0))&lt;&gt;"纳入","运行记录未纳入",IF(OR(E141="",P141="",COUNT(F141:M141)&lt;&gt;8),"待补齐评分或证据",IF(OR(MIN(F141:M141)&lt;1,MAX(F141:M141)&gt;5,MOD(F141,1)&lt;&gt;0,MOD(G141,1)&lt;&gt;0,MOD(H141,1)&lt;&gt;0,MOD(I141,1)&lt;&gt;0,MOD(J141,1)&lt;&gt;0,MOD(K141,1)&lt;&gt;0,MOD(L141,1)&lt;&gt;0,MOD(M141,1)&lt;&gt;0),"分数须为1至5整数",IF(ABS('试点设置'!$C$31-1)&gt;0.000001,"权重非100%","可比较"))))))</x:f>
        <x:v>待评分</x:v>
      </x:c>
      <x:c r="P141" s="10"/>
      <x:c r="Q141" s="13" t="n">
        <x:f>IF(O141&lt;&gt;"可比较",0,INDEX('配对比较'!$K$7:$K$42,MATCH(B141,'配对比较'!$A$7:$A$42,0)))</x:f>
        <x:v>0</x:v>
      </x:c>
    </x:row>
    <x:row r="142" ht="25" customHeight="1">
      <x:c r="A142" s="13" t="str">
        <x:v>F12-R1-CA</x:v>
      </x:c>
      <x:c r="B142" s="13" t="str">
        <x:f>IF(COUNTIFS('运行记录'!$A$7:$A$150,A142)=1,INDEX('运行记录'!$B$7:$B$150,MATCH(A142,'运行记录'!$A$7:$A$150,0)),"")</x:f>
        <x:v>F12-R1</x:v>
      </x:c>
      <x:c r="C142" s="13" t="str">
        <x:f>IF(COUNTIFS('运行记录'!$A$7:$A$150,A142)=1,INDEX('运行记录'!$C$7:$C$150,MATCH(A142,'运行记录'!$A$7:$A$150,0)),"")</x:f>
        <x:v>F12</x:v>
      </x:c>
      <x:c r="D142" s="13" t="str">
        <x:f>IF(COUNTIFS('运行记录'!$A$7:$A$150,A142)=1,INDEX('运行记录'!$E$7:$E$150,MATCH(A142,'运行记录'!$A$7:$A$150,0)),"")</x:f>
        <x:v>CodeArts</x:v>
      </x:c>
      <x:c r="E142" s="10"/>
      <x:c r="F142" s="56"/>
      <x:c r="G142" s="56"/>
      <x:c r="H142" s="56"/>
      <x:c r="I142" s="56"/>
      <x:c r="J142" s="56"/>
      <x:c r="K142" s="56"/>
      <x:c r="L142" s="56"/>
      <x:c r="M142" s="56"/>
      <x:c r="N142" s="50" t="str">
        <x:f>IF(O142="可比较",SUMPRODUCT(F142:M142,'试点设置'!$B$29:$I$29)*20,"")</x:f>
      </x:c>
      <x:c r="O142" s="13" t="str">
        <x:f>IF(COUNTA(E142:M142)+COUNTA(P142)=0,"待评分",IF(OR(COUNTIFS($A$7:$A$150,A142)&lt;&gt;1,COUNTIFS('运行记录'!$A$7:$A$150,A142)&lt;&gt;1),"ID重复或无效",IF(INDEX('运行记录'!$AE$7:$AE$150,MATCH(A142,'运行记录'!$A$7:$A$150,0))&lt;&gt;"纳入","运行记录未纳入",IF(OR(E142="",P142="",COUNT(F142:M142)&lt;&gt;8),"待补齐评分或证据",IF(OR(MIN(F142:M142)&lt;1,MAX(F142:M142)&gt;5,MOD(F142,1)&lt;&gt;0,MOD(G142,1)&lt;&gt;0,MOD(H142,1)&lt;&gt;0,MOD(I142,1)&lt;&gt;0,MOD(J142,1)&lt;&gt;0,MOD(K142,1)&lt;&gt;0,MOD(L142,1)&lt;&gt;0,MOD(M142,1)&lt;&gt;0),"分数须为1至5整数",IF(ABS('试点设置'!$C$31-1)&gt;0.000001,"权重非100%","可比较"))))))</x:f>
        <x:v>待评分</x:v>
      </x:c>
      <x:c r="P142" s="10"/>
      <x:c r="Q142" s="13" t="n">
        <x:f>IF(O142&lt;&gt;"可比较",0,INDEX('配对比较'!$K$7:$K$42,MATCH(B142,'配对比较'!$A$7:$A$42,0)))</x:f>
        <x:v>0</x:v>
      </x:c>
    </x:row>
    <x:row r="143" ht="25" customHeight="1">
      <x:c r="A143" s="13" t="str">
        <x:v>F12-R2-CC</x:v>
      </x:c>
      <x:c r="B143" s="13" t="str">
        <x:f>IF(COUNTIFS('运行记录'!$A$7:$A$150,A143)=1,INDEX('运行记录'!$B$7:$B$150,MATCH(A143,'运行记录'!$A$7:$A$150,0)),"")</x:f>
        <x:v>F12-R2</x:v>
      </x:c>
      <x:c r="C143" s="13" t="str">
        <x:f>IF(COUNTIFS('运行记录'!$A$7:$A$150,A143)=1,INDEX('运行记录'!$C$7:$C$150,MATCH(A143,'运行记录'!$A$7:$A$150,0)),"")</x:f>
        <x:v>F12</x:v>
      </x:c>
      <x:c r="D143" s="13" t="str">
        <x:f>IF(COUNTIFS('运行记录'!$A$7:$A$150,A143)=1,INDEX('运行记录'!$E$7:$E$150,MATCH(A143,'运行记录'!$A$7:$A$150,0)),"")</x:f>
        <x:v>Claude Code</x:v>
      </x:c>
      <x:c r="E143" s="10"/>
      <x:c r="F143" s="56"/>
      <x:c r="G143" s="56"/>
      <x:c r="H143" s="56"/>
      <x:c r="I143" s="56"/>
      <x:c r="J143" s="56"/>
      <x:c r="K143" s="56"/>
      <x:c r="L143" s="56"/>
      <x:c r="M143" s="56"/>
      <x:c r="N143" s="50" t="str">
        <x:f>IF(O143="可比较",SUMPRODUCT(F143:M143,'试点设置'!$B$29:$I$29)*20,"")</x:f>
      </x:c>
      <x:c r="O143" s="13" t="str">
        <x:f>IF(COUNTA(E143:M143)+COUNTA(P143)=0,"待评分",IF(OR(COUNTIFS($A$7:$A$150,A143)&lt;&gt;1,COUNTIFS('运行记录'!$A$7:$A$150,A143)&lt;&gt;1),"ID重复或无效",IF(INDEX('运行记录'!$AE$7:$AE$150,MATCH(A143,'运行记录'!$A$7:$A$150,0))&lt;&gt;"纳入","运行记录未纳入",IF(OR(E143="",P143="",COUNT(F143:M143)&lt;&gt;8),"待补齐评分或证据",IF(OR(MIN(F143:M143)&lt;1,MAX(F143:M143)&gt;5,MOD(F143,1)&lt;&gt;0,MOD(G143,1)&lt;&gt;0,MOD(H143,1)&lt;&gt;0,MOD(I143,1)&lt;&gt;0,MOD(J143,1)&lt;&gt;0,MOD(K143,1)&lt;&gt;0,MOD(L143,1)&lt;&gt;0,MOD(M143,1)&lt;&gt;0),"分数须为1至5整数",IF(ABS('试点设置'!$C$31-1)&gt;0.000001,"权重非100%","可比较"))))))</x:f>
        <x:v>待评分</x:v>
      </x:c>
      <x:c r="P143" s="10"/>
      <x:c r="Q143" s="13" t="n">
        <x:f>IF(O143&lt;&gt;"可比较",0,INDEX('配对比较'!$K$7:$K$42,MATCH(B143,'配对比较'!$A$7:$A$42,0)))</x:f>
        <x:v>0</x:v>
      </x:c>
    </x:row>
    <x:row r="144" ht="25" customHeight="1">
      <x:c r="A144" s="13" t="str">
        <x:v>F12-R2-CX</x:v>
      </x:c>
      <x:c r="B144" s="13" t="str">
        <x:f>IF(COUNTIFS('运行记录'!$A$7:$A$150,A144)=1,INDEX('运行记录'!$B$7:$B$150,MATCH(A144,'运行记录'!$A$7:$A$150,0)),"")</x:f>
        <x:v>F12-R2</x:v>
      </x:c>
      <x:c r="C144" s="13" t="str">
        <x:f>IF(COUNTIFS('运行记录'!$A$7:$A$150,A144)=1,INDEX('运行记录'!$C$7:$C$150,MATCH(A144,'运行记录'!$A$7:$A$150,0)),"")</x:f>
        <x:v>F12</x:v>
      </x:c>
      <x:c r="D144" s="13" t="str">
        <x:f>IF(COUNTIFS('运行记录'!$A$7:$A$150,A144)=1,INDEX('运行记录'!$E$7:$E$150,MATCH(A144,'运行记录'!$A$7:$A$150,0)),"")</x:f>
        <x:v>Codex</x:v>
      </x:c>
      <x:c r="E144" s="10"/>
      <x:c r="F144" s="56"/>
      <x:c r="G144" s="56"/>
      <x:c r="H144" s="56"/>
      <x:c r="I144" s="56"/>
      <x:c r="J144" s="56"/>
      <x:c r="K144" s="56"/>
      <x:c r="L144" s="56"/>
      <x:c r="M144" s="56"/>
      <x:c r="N144" s="50" t="str">
        <x:f>IF(O144="可比较",SUMPRODUCT(F144:M144,'试点设置'!$B$29:$I$29)*20,"")</x:f>
      </x:c>
      <x:c r="O144" s="13" t="str">
        <x:f>IF(COUNTA(E144:M144)+COUNTA(P144)=0,"待评分",IF(OR(COUNTIFS($A$7:$A$150,A144)&lt;&gt;1,COUNTIFS('运行记录'!$A$7:$A$150,A144)&lt;&gt;1),"ID重复或无效",IF(INDEX('运行记录'!$AE$7:$AE$150,MATCH(A144,'运行记录'!$A$7:$A$150,0))&lt;&gt;"纳入","运行记录未纳入",IF(OR(E144="",P144="",COUNT(F144:M144)&lt;&gt;8),"待补齐评分或证据",IF(OR(MIN(F144:M144)&lt;1,MAX(F144:M144)&gt;5,MOD(F144,1)&lt;&gt;0,MOD(G144,1)&lt;&gt;0,MOD(H144,1)&lt;&gt;0,MOD(I144,1)&lt;&gt;0,MOD(J144,1)&lt;&gt;0,MOD(K144,1)&lt;&gt;0,MOD(L144,1)&lt;&gt;0,MOD(M144,1)&lt;&gt;0),"分数须为1至5整数",IF(ABS('试点设置'!$C$31-1)&gt;0.000001,"权重非100%","可比较"))))))</x:f>
        <x:v>待评分</x:v>
      </x:c>
      <x:c r="P144" s="10"/>
      <x:c r="Q144" s="13" t="n">
        <x:f>IF(O144&lt;&gt;"可比较",0,INDEX('配对比较'!$K$7:$K$42,MATCH(B144,'配对比较'!$A$7:$A$42,0)))</x:f>
        <x:v>0</x:v>
      </x:c>
    </x:row>
    <x:row r="145" ht="25" customHeight="1">
      <x:c r="A145" s="13" t="str">
        <x:v>F12-R2-TR</x:v>
      </x:c>
      <x:c r="B145" s="13" t="str">
        <x:f>IF(COUNTIFS('运行记录'!$A$7:$A$150,A145)=1,INDEX('运行记录'!$B$7:$B$150,MATCH(A145,'运行记录'!$A$7:$A$150,0)),"")</x:f>
        <x:v>F12-R2</x:v>
      </x:c>
      <x:c r="C145" s="13" t="str">
        <x:f>IF(COUNTIFS('运行记录'!$A$7:$A$150,A145)=1,INDEX('运行记录'!$C$7:$C$150,MATCH(A145,'运行记录'!$A$7:$A$150,0)),"")</x:f>
        <x:v>F12</x:v>
      </x:c>
      <x:c r="D145" s="13" t="str">
        <x:f>IF(COUNTIFS('运行记录'!$A$7:$A$150,A145)=1,INDEX('运行记录'!$E$7:$E$150,MATCH(A145,'运行记录'!$A$7:$A$150,0)),"")</x:f>
        <x:v>Trae</x:v>
      </x:c>
      <x:c r="E145" s="10"/>
      <x:c r="F145" s="56"/>
      <x:c r="G145" s="56"/>
      <x:c r="H145" s="56"/>
      <x:c r="I145" s="56"/>
      <x:c r="J145" s="56"/>
      <x:c r="K145" s="56"/>
      <x:c r="L145" s="56"/>
      <x:c r="M145" s="56"/>
      <x:c r="N145" s="50" t="str">
        <x:f>IF(O145="可比较",SUMPRODUCT(F145:M145,'试点设置'!$B$29:$I$29)*20,"")</x:f>
      </x:c>
      <x:c r="O145" s="13" t="str">
        <x:f>IF(COUNTA(E145:M145)+COUNTA(P145)=0,"待评分",IF(OR(COUNTIFS($A$7:$A$150,A145)&lt;&gt;1,COUNTIFS('运行记录'!$A$7:$A$150,A145)&lt;&gt;1),"ID重复或无效",IF(INDEX('运行记录'!$AE$7:$AE$150,MATCH(A145,'运行记录'!$A$7:$A$150,0))&lt;&gt;"纳入","运行记录未纳入",IF(OR(E145="",P145="",COUNT(F145:M145)&lt;&gt;8),"待补齐评分或证据",IF(OR(MIN(F145:M145)&lt;1,MAX(F145:M145)&gt;5,MOD(F145,1)&lt;&gt;0,MOD(G145,1)&lt;&gt;0,MOD(H145,1)&lt;&gt;0,MOD(I145,1)&lt;&gt;0,MOD(J145,1)&lt;&gt;0,MOD(K145,1)&lt;&gt;0,MOD(L145,1)&lt;&gt;0,MOD(M145,1)&lt;&gt;0),"分数须为1至5整数",IF(ABS('试点设置'!$C$31-1)&gt;0.000001,"权重非100%","可比较"))))))</x:f>
        <x:v>待评分</x:v>
      </x:c>
      <x:c r="P145" s="10"/>
      <x:c r="Q145" s="13" t="n">
        <x:f>IF(O145&lt;&gt;"可比较",0,INDEX('配对比较'!$K$7:$K$42,MATCH(B145,'配对比较'!$A$7:$A$42,0)))</x:f>
        <x:v>0</x:v>
      </x:c>
    </x:row>
    <x:row r="146" ht="25" customHeight="1">
      <x:c r="A146" s="13" t="str">
        <x:v>F12-R2-CA</x:v>
      </x:c>
      <x:c r="B146" s="13" t="str">
        <x:f>IF(COUNTIFS('运行记录'!$A$7:$A$150,A146)=1,INDEX('运行记录'!$B$7:$B$150,MATCH(A146,'运行记录'!$A$7:$A$150,0)),"")</x:f>
        <x:v>F12-R2</x:v>
      </x:c>
      <x:c r="C146" s="13" t="str">
        <x:f>IF(COUNTIFS('运行记录'!$A$7:$A$150,A146)=1,INDEX('运行记录'!$C$7:$C$150,MATCH(A146,'运行记录'!$A$7:$A$150,0)),"")</x:f>
        <x:v>F12</x:v>
      </x:c>
      <x:c r="D146" s="13" t="str">
        <x:f>IF(COUNTIFS('运行记录'!$A$7:$A$150,A146)=1,INDEX('运行记录'!$E$7:$E$150,MATCH(A146,'运行记录'!$A$7:$A$150,0)),"")</x:f>
        <x:v>CodeArts</x:v>
      </x:c>
      <x:c r="E146" s="10"/>
      <x:c r="F146" s="56"/>
      <x:c r="G146" s="56"/>
      <x:c r="H146" s="56"/>
      <x:c r="I146" s="56"/>
      <x:c r="J146" s="56"/>
      <x:c r="K146" s="56"/>
      <x:c r="L146" s="56"/>
      <x:c r="M146" s="56"/>
      <x:c r="N146" s="50" t="str">
        <x:f>IF(O146="可比较",SUMPRODUCT(F146:M146,'试点设置'!$B$29:$I$29)*20,"")</x:f>
      </x:c>
      <x:c r="O146" s="13" t="str">
        <x:f>IF(COUNTA(E146:M146)+COUNTA(P146)=0,"待评分",IF(OR(COUNTIFS($A$7:$A$150,A146)&lt;&gt;1,COUNTIFS('运行记录'!$A$7:$A$150,A146)&lt;&gt;1),"ID重复或无效",IF(INDEX('运行记录'!$AE$7:$AE$150,MATCH(A146,'运行记录'!$A$7:$A$150,0))&lt;&gt;"纳入","运行记录未纳入",IF(OR(E146="",P146="",COUNT(F146:M146)&lt;&gt;8),"待补齐评分或证据",IF(OR(MIN(F146:M146)&lt;1,MAX(F146:M146)&gt;5,MOD(F146,1)&lt;&gt;0,MOD(G146,1)&lt;&gt;0,MOD(H146,1)&lt;&gt;0,MOD(I146,1)&lt;&gt;0,MOD(J146,1)&lt;&gt;0,MOD(K146,1)&lt;&gt;0,MOD(L146,1)&lt;&gt;0,MOD(M146,1)&lt;&gt;0),"分数须为1至5整数",IF(ABS('试点设置'!$C$31-1)&gt;0.000001,"权重非100%","可比较"))))))</x:f>
        <x:v>待评分</x:v>
      </x:c>
      <x:c r="P146" s="10"/>
      <x:c r="Q146" s="13" t="n">
        <x:f>IF(O146&lt;&gt;"可比较",0,INDEX('配对比较'!$K$7:$K$42,MATCH(B146,'配对比较'!$A$7:$A$42,0)))</x:f>
        <x:v>0</x:v>
      </x:c>
    </x:row>
    <x:row r="147" ht="25" customHeight="1">
      <x:c r="A147" s="13" t="str">
        <x:v>F12-R3-CC</x:v>
      </x:c>
      <x:c r="B147" s="13" t="str">
        <x:f>IF(COUNTIFS('运行记录'!$A$7:$A$150,A147)=1,INDEX('运行记录'!$B$7:$B$150,MATCH(A147,'运行记录'!$A$7:$A$150,0)),"")</x:f>
        <x:v>F12-R3</x:v>
      </x:c>
      <x:c r="C147" s="13" t="str">
        <x:f>IF(COUNTIFS('运行记录'!$A$7:$A$150,A147)=1,INDEX('运行记录'!$C$7:$C$150,MATCH(A147,'运行记录'!$A$7:$A$150,0)),"")</x:f>
        <x:v>F12</x:v>
      </x:c>
      <x:c r="D147" s="13" t="str">
        <x:f>IF(COUNTIFS('运行记录'!$A$7:$A$150,A147)=1,INDEX('运行记录'!$E$7:$E$150,MATCH(A147,'运行记录'!$A$7:$A$150,0)),"")</x:f>
        <x:v>Claude Code</x:v>
      </x:c>
      <x:c r="E147" s="10"/>
      <x:c r="F147" s="56"/>
      <x:c r="G147" s="56"/>
      <x:c r="H147" s="56"/>
      <x:c r="I147" s="56"/>
      <x:c r="J147" s="56"/>
      <x:c r="K147" s="56"/>
      <x:c r="L147" s="56"/>
      <x:c r="M147" s="56"/>
      <x:c r="N147" s="50" t="str">
        <x:f>IF(O147="可比较",SUMPRODUCT(F147:M147,'试点设置'!$B$29:$I$29)*20,"")</x:f>
      </x:c>
      <x:c r="O147" s="13" t="str">
        <x:f>IF(COUNTA(E147:M147)+COUNTA(P147)=0,"待评分",IF(OR(COUNTIFS($A$7:$A$150,A147)&lt;&gt;1,COUNTIFS('运行记录'!$A$7:$A$150,A147)&lt;&gt;1),"ID重复或无效",IF(INDEX('运行记录'!$AE$7:$AE$150,MATCH(A147,'运行记录'!$A$7:$A$150,0))&lt;&gt;"纳入","运行记录未纳入",IF(OR(E147="",P147="",COUNT(F147:M147)&lt;&gt;8),"待补齐评分或证据",IF(OR(MIN(F147:M147)&lt;1,MAX(F147:M147)&gt;5,MOD(F147,1)&lt;&gt;0,MOD(G147,1)&lt;&gt;0,MOD(H147,1)&lt;&gt;0,MOD(I147,1)&lt;&gt;0,MOD(J147,1)&lt;&gt;0,MOD(K147,1)&lt;&gt;0,MOD(L147,1)&lt;&gt;0,MOD(M147,1)&lt;&gt;0),"分数须为1至5整数",IF(ABS('试点设置'!$C$31-1)&gt;0.000001,"权重非100%","可比较"))))))</x:f>
        <x:v>待评分</x:v>
      </x:c>
      <x:c r="P147" s="10"/>
      <x:c r="Q147" s="13" t="n">
        <x:f>IF(O147&lt;&gt;"可比较",0,INDEX('配对比较'!$K$7:$K$42,MATCH(B147,'配对比较'!$A$7:$A$42,0)))</x:f>
        <x:v>0</x:v>
      </x:c>
    </x:row>
    <x:row r="148" ht="25" customHeight="1">
      <x:c r="A148" s="13" t="str">
        <x:v>F12-R3-CX</x:v>
      </x:c>
      <x:c r="B148" s="13" t="str">
        <x:f>IF(COUNTIFS('运行记录'!$A$7:$A$150,A148)=1,INDEX('运行记录'!$B$7:$B$150,MATCH(A148,'运行记录'!$A$7:$A$150,0)),"")</x:f>
        <x:v>F12-R3</x:v>
      </x:c>
      <x:c r="C148" s="13" t="str">
        <x:f>IF(COUNTIFS('运行记录'!$A$7:$A$150,A148)=1,INDEX('运行记录'!$C$7:$C$150,MATCH(A148,'运行记录'!$A$7:$A$150,0)),"")</x:f>
        <x:v>F12</x:v>
      </x:c>
      <x:c r="D148" s="13" t="str">
        <x:f>IF(COUNTIFS('运行记录'!$A$7:$A$150,A148)=1,INDEX('运行记录'!$E$7:$E$150,MATCH(A148,'运行记录'!$A$7:$A$150,0)),"")</x:f>
        <x:v>Codex</x:v>
      </x:c>
      <x:c r="E148" s="10"/>
      <x:c r="F148" s="56"/>
      <x:c r="G148" s="56"/>
      <x:c r="H148" s="56"/>
      <x:c r="I148" s="56"/>
      <x:c r="J148" s="56"/>
      <x:c r="K148" s="56"/>
      <x:c r="L148" s="56"/>
      <x:c r="M148" s="56"/>
      <x:c r="N148" s="50" t="str">
        <x:f>IF(O148="可比较",SUMPRODUCT(F148:M148,'试点设置'!$B$29:$I$29)*20,"")</x:f>
      </x:c>
      <x:c r="O148" s="13" t="str">
        <x:f>IF(COUNTA(E148:M148)+COUNTA(P148)=0,"待评分",IF(OR(COUNTIFS($A$7:$A$150,A148)&lt;&gt;1,COUNTIFS('运行记录'!$A$7:$A$150,A148)&lt;&gt;1),"ID重复或无效",IF(INDEX('运行记录'!$AE$7:$AE$150,MATCH(A148,'运行记录'!$A$7:$A$150,0))&lt;&gt;"纳入","运行记录未纳入",IF(OR(E148="",P148="",COUNT(F148:M148)&lt;&gt;8),"待补齐评分或证据",IF(OR(MIN(F148:M148)&lt;1,MAX(F148:M148)&gt;5,MOD(F148,1)&lt;&gt;0,MOD(G148,1)&lt;&gt;0,MOD(H148,1)&lt;&gt;0,MOD(I148,1)&lt;&gt;0,MOD(J148,1)&lt;&gt;0,MOD(K148,1)&lt;&gt;0,MOD(L148,1)&lt;&gt;0,MOD(M148,1)&lt;&gt;0),"分数须为1至5整数",IF(ABS('试点设置'!$C$31-1)&gt;0.000001,"权重非100%","可比较"))))))</x:f>
        <x:v>待评分</x:v>
      </x:c>
      <x:c r="P148" s="10"/>
      <x:c r="Q148" s="13" t="n">
        <x:f>IF(O148&lt;&gt;"可比较",0,INDEX('配对比较'!$K$7:$K$42,MATCH(B148,'配对比较'!$A$7:$A$42,0)))</x:f>
        <x:v>0</x:v>
      </x:c>
    </x:row>
    <x:row r="149" ht="25" customHeight="1">
      <x:c r="A149" s="13" t="str">
        <x:v>F12-R3-TR</x:v>
      </x:c>
      <x:c r="B149" s="13" t="str">
        <x:f>IF(COUNTIFS('运行记录'!$A$7:$A$150,A149)=1,INDEX('运行记录'!$B$7:$B$150,MATCH(A149,'运行记录'!$A$7:$A$150,0)),"")</x:f>
        <x:v>F12-R3</x:v>
      </x:c>
      <x:c r="C149" s="13" t="str">
        <x:f>IF(COUNTIFS('运行记录'!$A$7:$A$150,A149)=1,INDEX('运行记录'!$C$7:$C$150,MATCH(A149,'运行记录'!$A$7:$A$150,0)),"")</x:f>
        <x:v>F12</x:v>
      </x:c>
      <x:c r="D149" s="13" t="str">
        <x:f>IF(COUNTIFS('运行记录'!$A$7:$A$150,A149)=1,INDEX('运行记录'!$E$7:$E$150,MATCH(A149,'运行记录'!$A$7:$A$150,0)),"")</x:f>
        <x:v>Trae</x:v>
      </x:c>
      <x:c r="E149" s="10"/>
      <x:c r="F149" s="56"/>
      <x:c r="G149" s="56"/>
      <x:c r="H149" s="56"/>
      <x:c r="I149" s="56"/>
      <x:c r="J149" s="56"/>
      <x:c r="K149" s="56"/>
      <x:c r="L149" s="56"/>
      <x:c r="M149" s="56"/>
      <x:c r="N149" s="50" t="str">
        <x:f>IF(O149="可比较",SUMPRODUCT(F149:M149,'试点设置'!$B$29:$I$29)*20,"")</x:f>
      </x:c>
      <x:c r="O149" s="13" t="str">
        <x:f>IF(COUNTA(E149:M149)+COUNTA(P149)=0,"待评分",IF(OR(COUNTIFS($A$7:$A$150,A149)&lt;&gt;1,COUNTIFS('运行记录'!$A$7:$A$150,A149)&lt;&gt;1),"ID重复或无效",IF(INDEX('运行记录'!$AE$7:$AE$150,MATCH(A149,'运行记录'!$A$7:$A$150,0))&lt;&gt;"纳入","运行记录未纳入",IF(OR(E149="",P149="",COUNT(F149:M149)&lt;&gt;8),"待补齐评分或证据",IF(OR(MIN(F149:M149)&lt;1,MAX(F149:M149)&gt;5,MOD(F149,1)&lt;&gt;0,MOD(G149,1)&lt;&gt;0,MOD(H149,1)&lt;&gt;0,MOD(I149,1)&lt;&gt;0,MOD(J149,1)&lt;&gt;0,MOD(K149,1)&lt;&gt;0,MOD(L149,1)&lt;&gt;0,MOD(M149,1)&lt;&gt;0),"分数须为1至5整数",IF(ABS('试点设置'!$C$31-1)&gt;0.000001,"权重非100%","可比较"))))))</x:f>
        <x:v>待评分</x:v>
      </x:c>
      <x:c r="P149" s="10"/>
      <x:c r="Q149" s="13" t="n">
        <x:f>IF(O149&lt;&gt;"可比较",0,INDEX('配对比较'!$K$7:$K$42,MATCH(B149,'配对比较'!$A$7:$A$42,0)))</x:f>
        <x:v>0</x:v>
      </x:c>
    </x:row>
    <x:row r="150" ht="25" customHeight="1">
      <x:c r="A150" s="13" t="str">
        <x:v>F12-R3-CA</x:v>
      </x:c>
      <x:c r="B150" s="13" t="str">
        <x:f>IF(COUNTIFS('运行记录'!$A$7:$A$150,A150)=1,INDEX('运行记录'!$B$7:$B$150,MATCH(A150,'运行记录'!$A$7:$A$150,0)),"")</x:f>
        <x:v>F12-R3</x:v>
      </x:c>
      <x:c r="C150" s="13" t="str">
        <x:f>IF(COUNTIFS('运行记录'!$A$7:$A$150,A150)=1,INDEX('运行记录'!$C$7:$C$150,MATCH(A150,'运行记录'!$A$7:$A$150,0)),"")</x:f>
        <x:v>F12</x:v>
      </x:c>
      <x:c r="D150" s="13" t="str">
        <x:f>IF(COUNTIFS('运行记录'!$A$7:$A$150,A150)=1,INDEX('运行记录'!$E$7:$E$150,MATCH(A150,'运行记录'!$A$7:$A$150,0)),"")</x:f>
        <x:v>CodeArts</x:v>
      </x:c>
      <x:c r="E150" s="11"/>
      <x:c r="F150" s="57"/>
      <x:c r="G150" s="57"/>
      <x:c r="H150" s="57"/>
      <x:c r="I150" s="57"/>
      <x:c r="J150" s="57"/>
      <x:c r="K150" s="57"/>
      <x:c r="L150" s="57"/>
      <x:c r="M150" s="57"/>
      <x:c r="N150" s="50" t="str">
        <x:f>IF(O150="可比较",SUMPRODUCT(F150:M150,'试点设置'!$B$29:$I$29)*20,"")</x:f>
      </x:c>
      <x:c r="O150" s="13" t="str">
        <x:f>IF(COUNTA(E150:M150)+COUNTA(P150)=0,"待评分",IF(OR(COUNTIFS($A$7:$A$150,A150)&lt;&gt;1,COUNTIFS('运行记录'!$A$7:$A$150,A150)&lt;&gt;1),"ID重复或无效",IF(INDEX('运行记录'!$AE$7:$AE$150,MATCH(A150,'运行记录'!$A$7:$A$150,0))&lt;&gt;"纳入","运行记录未纳入",IF(OR(E150="",P150="",COUNT(F150:M150)&lt;&gt;8),"待补齐评分或证据",IF(OR(MIN(F150:M150)&lt;1,MAX(F150:M150)&gt;5,MOD(F150,1)&lt;&gt;0,MOD(G150,1)&lt;&gt;0,MOD(H150,1)&lt;&gt;0,MOD(I150,1)&lt;&gt;0,MOD(J150,1)&lt;&gt;0,MOD(K150,1)&lt;&gt;0,MOD(L150,1)&lt;&gt;0,MOD(M150,1)&lt;&gt;0),"分数须为1至5整数",IF(ABS('试点设置'!$C$31-1)&gt;0.000001,"权重非100%","可比较"))))))</x:f>
        <x:v>待评分</x:v>
      </x:c>
      <x:c r="P150" s="11"/>
      <x:c r="Q150" s="13" t="n">
        <x:f>IF(O150&lt;&gt;"可比较",0,INDEX('配对比较'!$K$7:$K$42,MATCH(B150,'配对比较'!$A$7:$A$42,0)))</x:f>
        <x:v>0</x:v>
      </x:c>
    </x:row>
  </x:sheetData>
  <x:conditionalFormatting sqref="O7:O150">
    <x:cfRule type="expression" dxfId="3" priority="1">
      <x:formula>AND($O7&lt;&gt;"待评分",$O7&lt;&gt;"可比较")</x:formula>
    </x:cfRule>
  </x:conditionalFormatting>
  <x:dataValidations count="1">
    <x:dataValidation type="whole" operator="between" sqref="F7:M150">
      <x:formula1>1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f8d7f7d263947b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2" hidden="0" customWidth="1"/>
    <x:col min="2" max="2" width="24" hidden="0" customWidth="1"/>
    <x:col min="3" max="3" width="40" hidden="0" customWidth="1"/>
    <x:col min="4" max="4" width="12" hidden="0" customWidth="1"/>
    <x:col min="5" max="5" width="30" hidden="0" customWidth="1"/>
    <x:col min="6" max="6" width="34" hidden="0" customWidth="1"/>
    <x:col min="7" max="7" width="34" hidden="0" customWidth="1"/>
    <x:col min="8" max="8" width="14" hidden="0" customWidth="1"/>
    <x:col min="9" max="9" width="38" hidden="0" customWidth="1"/>
    <x:col min="10" max="10" width="15" hidden="0" customWidth="1"/>
    <x:col min="11" max="11" width="13" hidden="0" customWidth="1"/>
    <x:col min="12" max="12" width="19" hidden="0" customWidth="1"/>
    <x:col min="13" max="13" width="34" hidden="0" customWidth="1"/>
    <x:col min="14" max="14" width="34" hidden="0" customWidth="1"/>
    <x:col min="15" max="15" width="18" hidden="0" customWidth="1"/>
    <x:col min="16" max="16" width="20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34" customHeight="1">
      <x:c r="A2" s="4" t="str">
        <x:v>统一特性清单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</x:row>
    <x:row r="3" ht="25" customHeight="1">
      <x:c r="A3" s="7" t="str">
        <x:v>先填写业务特性和统一验收集。每项可安排 1–3 轮；空白名称代表未启用。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 ht="46" customHeight="1">
      <x:c r="A6" s="22" t="str">
        <x:v>特性ID</x:v>
      </x:c>
      <x:c r="B6" s="23" t="str">
        <x:v>特性名称</x:v>
      </x:c>
      <x:c r="C6" s="23" t="str">
        <x:v>业务目标与范围</x:v>
      </x:c>
      <x:c r="D6" s="23" t="str">
        <x:v>复杂度</x:v>
      </x:c>
      <x:c r="E6" s="23" t="str">
        <x:v>代码范围 / 技术栈</x:v>
      </x:c>
      <x:c r="F6" s="23" t="str">
        <x:v>需求与初始提示词链接</x:v>
      </x:c>
      <x:c r="G6" s="23" t="str">
        <x:v>验收集 / 测试数据链接</x:v>
      </x:c>
      <x:c r="H6" s="23" t="str">
        <x:v>验收用例总数</x:v>
      </x:c>
      <x:c r="I6" s="23" t="str">
        <x:v>回归、代码审查及质量门槛</x:v>
      </x:c>
      <x:c r="J6" s="23" t="str">
        <x:v>统一限时（分钟）</x:v>
      </x:c>
      <x:c r="K6" s="23" t="str">
        <x:v>计划轮次</x:v>
      </x:c>
      <x:c r="L6" s="23" t="str">
        <x:v>人工基线（分钟，可选）</x:v>
      </x:c>
      <x:c r="M6" s="23" t="str">
        <x:v>基线证据 / 人员 / 条件</x:v>
      </x:c>
      <x:c r="N6" s="23" t="str">
        <x:v>排除范围与特殊条件</x:v>
      </x:c>
      <x:c r="O6" s="23" t="str">
        <x:v>特性负责人</x:v>
      </x:c>
      <x:c r="P6" s="24" t="str">
        <x:v>配置状态</x:v>
      </x:c>
    </x:row>
    <x:row r="7" ht="76" customHeight="1">
      <x:c r="A7" s="36" t="str">
        <x:v>F01</x:v>
      </x:c>
      <x:c r="B7" s="26"/>
      <x:c r="C7" s="26"/>
      <x:c r="D7" s="26"/>
      <x:c r="E7" s="26"/>
      <x:c r="F7" s="26"/>
      <x:c r="G7" s="26"/>
      <x:c r="H7" s="37"/>
      <x:c r="I7" s="26"/>
      <x:c r="J7" s="40"/>
      <x:c r="K7" s="37" t="n">
        <x:v>3</x:v>
      </x:c>
      <x:c r="L7" s="40"/>
      <x:c r="M7" s="26"/>
      <x:c r="N7" s="26"/>
      <x:c r="O7" s="26"/>
      <x:c r="P7" s="36" t="str">
        <x:f>IF(B7="","未启用",IF(AND(COUNTA(B7:K7)=10,O7&lt;&gt;"",ISNUMBER(H7),H7&gt;0,MOD(H7,1)=0,ISNUMBER(J7),J7&gt;0,ISNUMBER(K7),K7&gt;=1,K7&lt;=3,MOD(K7,1)=0,COUNTIFS($A$7:$A$18,A7)=1),"齐备","待填写或纠错"))</x:f>
        <x:v>未启用</x:v>
      </x:c>
    </x:row>
    <x:row r="8" ht="76" customHeight="1">
      <x:c r="A8" s="36" t="str">
        <x:v>F02</x:v>
      </x:c>
      <x:c r="B8" s="27"/>
      <x:c r="C8" s="27"/>
      <x:c r="D8" s="27"/>
      <x:c r="E8" s="27"/>
      <x:c r="F8" s="27"/>
      <x:c r="G8" s="27"/>
      <x:c r="H8" s="38"/>
      <x:c r="I8" s="27"/>
      <x:c r="J8" s="41"/>
      <x:c r="K8" s="38" t="n">
        <x:v>3</x:v>
      </x:c>
      <x:c r="L8" s="41"/>
      <x:c r="M8" s="27"/>
      <x:c r="N8" s="27"/>
      <x:c r="O8" s="27"/>
      <x:c r="P8" s="36" t="str">
        <x:f>IF(B8="","未启用",IF(AND(COUNTA(B8:K8)=10,O8&lt;&gt;"",ISNUMBER(H8),H8&gt;0,MOD(H8,1)=0,ISNUMBER(J8),J8&gt;0,ISNUMBER(K8),K8&gt;=1,K8&lt;=3,MOD(K8,1)=0,COUNTIFS($A$7:$A$18,A8)=1),"齐备","待填写或纠错"))</x:f>
        <x:v>未启用</x:v>
      </x:c>
    </x:row>
    <x:row r="9" ht="76" customHeight="1">
      <x:c r="A9" s="36" t="str">
        <x:v>F03</x:v>
      </x:c>
      <x:c r="B9" s="27"/>
      <x:c r="C9" s="27"/>
      <x:c r="D9" s="27"/>
      <x:c r="E9" s="27"/>
      <x:c r="F9" s="27"/>
      <x:c r="G9" s="27"/>
      <x:c r="H9" s="38"/>
      <x:c r="I9" s="27"/>
      <x:c r="J9" s="41"/>
      <x:c r="K9" s="38" t="n">
        <x:v>3</x:v>
      </x:c>
      <x:c r="L9" s="41"/>
      <x:c r="M9" s="27"/>
      <x:c r="N9" s="27"/>
      <x:c r="O9" s="27"/>
      <x:c r="P9" s="36" t="str">
        <x:f>IF(B9="","未启用",IF(AND(COUNTA(B9:K9)=10,O9&lt;&gt;"",ISNUMBER(H9),H9&gt;0,MOD(H9,1)=0,ISNUMBER(J9),J9&gt;0,ISNUMBER(K9),K9&gt;=1,K9&lt;=3,MOD(K9,1)=0,COUNTIFS($A$7:$A$18,A9)=1),"齐备","待填写或纠错"))</x:f>
        <x:v>未启用</x:v>
      </x:c>
    </x:row>
    <x:row r="10" ht="76" customHeight="1">
      <x:c r="A10" s="36" t="str">
        <x:v>F04</x:v>
      </x:c>
      <x:c r="B10" s="27"/>
      <x:c r="C10" s="27"/>
      <x:c r="D10" s="27"/>
      <x:c r="E10" s="27"/>
      <x:c r="F10" s="27"/>
      <x:c r="G10" s="27"/>
      <x:c r="H10" s="38"/>
      <x:c r="I10" s="27"/>
      <x:c r="J10" s="41"/>
      <x:c r="K10" s="38" t="n">
        <x:v>3</x:v>
      </x:c>
      <x:c r="L10" s="41"/>
      <x:c r="M10" s="27"/>
      <x:c r="N10" s="27"/>
      <x:c r="O10" s="27"/>
      <x:c r="P10" s="36" t="str">
        <x:f>IF(B10="","未启用",IF(AND(COUNTA(B10:K10)=10,O10&lt;&gt;"",ISNUMBER(H10),H10&gt;0,MOD(H10,1)=0,ISNUMBER(J10),J10&gt;0,ISNUMBER(K10),K10&gt;=1,K10&lt;=3,MOD(K10,1)=0,COUNTIFS($A$7:$A$18,A10)=1),"齐备","待填写或纠错"))</x:f>
        <x:v>未启用</x:v>
      </x:c>
    </x:row>
    <x:row r="11" ht="76" customHeight="1">
      <x:c r="A11" s="36" t="str">
        <x:v>F05</x:v>
      </x:c>
      <x:c r="B11" s="27"/>
      <x:c r="C11" s="27"/>
      <x:c r="D11" s="27"/>
      <x:c r="E11" s="27"/>
      <x:c r="F11" s="27"/>
      <x:c r="G11" s="27"/>
      <x:c r="H11" s="38"/>
      <x:c r="I11" s="27"/>
      <x:c r="J11" s="41"/>
      <x:c r="K11" s="38" t="n">
        <x:v>3</x:v>
      </x:c>
      <x:c r="L11" s="41"/>
      <x:c r="M11" s="27"/>
      <x:c r="N11" s="27"/>
      <x:c r="O11" s="27"/>
      <x:c r="P11" s="36" t="str">
        <x:f>IF(B11="","未启用",IF(AND(COUNTA(B11:K11)=10,O11&lt;&gt;"",ISNUMBER(H11),H11&gt;0,MOD(H11,1)=0,ISNUMBER(J11),J11&gt;0,ISNUMBER(K11),K11&gt;=1,K11&lt;=3,MOD(K11,1)=0,COUNTIFS($A$7:$A$18,A11)=1),"齐备","待填写或纠错"))</x:f>
        <x:v>未启用</x:v>
      </x:c>
    </x:row>
    <x:row r="12" ht="76" customHeight="1">
      <x:c r="A12" s="36" t="str">
        <x:v>F06</x:v>
      </x:c>
      <x:c r="B12" s="27"/>
      <x:c r="C12" s="27"/>
      <x:c r="D12" s="27"/>
      <x:c r="E12" s="27"/>
      <x:c r="F12" s="27"/>
      <x:c r="G12" s="27"/>
      <x:c r="H12" s="38"/>
      <x:c r="I12" s="27"/>
      <x:c r="J12" s="41"/>
      <x:c r="K12" s="38" t="n">
        <x:v>3</x:v>
      </x:c>
      <x:c r="L12" s="41"/>
      <x:c r="M12" s="27"/>
      <x:c r="N12" s="27"/>
      <x:c r="O12" s="27"/>
      <x:c r="P12" s="36" t="str">
        <x:f>IF(B12="","未启用",IF(AND(COUNTA(B12:K12)=10,O12&lt;&gt;"",ISNUMBER(H12),H12&gt;0,MOD(H12,1)=0,ISNUMBER(J12),J12&gt;0,ISNUMBER(K12),K12&gt;=1,K12&lt;=3,MOD(K12,1)=0,COUNTIFS($A$7:$A$18,A12)=1),"齐备","待填写或纠错"))</x:f>
        <x:v>未启用</x:v>
      </x:c>
    </x:row>
    <x:row r="13" ht="76" customHeight="1">
      <x:c r="A13" s="36" t="str">
        <x:v>F07</x:v>
      </x:c>
      <x:c r="B13" s="27"/>
      <x:c r="C13" s="27"/>
      <x:c r="D13" s="27"/>
      <x:c r="E13" s="27"/>
      <x:c r="F13" s="27"/>
      <x:c r="G13" s="27"/>
      <x:c r="H13" s="38"/>
      <x:c r="I13" s="27"/>
      <x:c r="J13" s="41"/>
      <x:c r="K13" s="38" t="n">
        <x:v>3</x:v>
      </x:c>
      <x:c r="L13" s="41"/>
      <x:c r="M13" s="27"/>
      <x:c r="N13" s="27"/>
      <x:c r="O13" s="27"/>
      <x:c r="P13" s="36" t="str">
        <x:f>IF(B13="","未启用",IF(AND(COUNTA(B13:K13)=10,O13&lt;&gt;"",ISNUMBER(H13),H13&gt;0,MOD(H13,1)=0,ISNUMBER(J13),J13&gt;0,ISNUMBER(K13),K13&gt;=1,K13&lt;=3,MOD(K13,1)=0,COUNTIFS($A$7:$A$18,A13)=1),"齐备","待填写或纠错"))</x:f>
        <x:v>未启用</x:v>
      </x:c>
    </x:row>
    <x:row r="14" ht="76" customHeight="1">
      <x:c r="A14" s="36" t="str">
        <x:v>F08</x:v>
      </x:c>
      <x:c r="B14" s="27"/>
      <x:c r="C14" s="27"/>
      <x:c r="D14" s="27"/>
      <x:c r="E14" s="27"/>
      <x:c r="F14" s="27"/>
      <x:c r="G14" s="27"/>
      <x:c r="H14" s="38"/>
      <x:c r="I14" s="27"/>
      <x:c r="J14" s="41"/>
      <x:c r="K14" s="38" t="n">
        <x:v>3</x:v>
      </x:c>
      <x:c r="L14" s="41"/>
      <x:c r="M14" s="27"/>
      <x:c r="N14" s="27"/>
      <x:c r="O14" s="27"/>
      <x:c r="P14" s="36" t="str">
        <x:f>IF(B14="","未启用",IF(AND(COUNTA(B14:K14)=10,O14&lt;&gt;"",ISNUMBER(H14),H14&gt;0,MOD(H14,1)=0,ISNUMBER(J14),J14&gt;0,ISNUMBER(K14),K14&gt;=1,K14&lt;=3,MOD(K14,1)=0,COUNTIFS($A$7:$A$18,A14)=1),"齐备","待填写或纠错"))</x:f>
        <x:v>未启用</x:v>
      </x:c>
    </x:row>
    <x:row r="15" ht="76" customHeight="1">
      <x:c r="A15" s="36" t="str">
        <x:v>F09</x:v>
      </x:c>
      <x:c r="B15" s="27"/>
      <x:c r="C15" s="27"/>
      <x:c r="D15" s="27"/>
      <x:c r="E15" s="27"/>
      <x:c r="F15" s="27"/>
      <x:c r="G15" s="27"/>
      <x:c r="H15" s="38"/>
      <x:c r="I15" s="27"/>
      <x:c r="J15" s="41"/>
      <x:c r="K15" s="38" t="n">
        <x:v>3</x:v>
      </x:c>
      <x:c r="L15" s="41"/>
      <x:c r="M15" s="27"/>
      <x:c r="N15" s="27"/>
      <x:c r="O15" s="27"/>
      <x:c r="P15" s="36" t="str">
        <x:f>IF(B15="","未启用",IF(AND(COUNTA(B15:K15)=10,O15&lt;&gt;"",ISNUMBER(H15),H15&gt;0,MOD(H15,1)=0,ISNUMBER(J15),J15&gt;0,ISNUMBER(K15),K15&gt;=1,K15&lt;=3,MOD(K15,1)=0,COUNTIFS($A$7:$A$18,A15)=1),"齐备","待填写或纠错"))</x:f>
        <x:v>未启用</x:v>
      </x:c>
    </x:row>
    <x:row r="16" ht="76" customHeight="1">
      <x:c r="A16" s="36" t="str">
        <x:v>F10</x:v>
      </x:c>
      <x:c r="B16" s="27"/>
      <x:c r="C16" s="27"/>
      <x:c r="D16" s="27"/>
      <x:c r="E16" s="27"/>
      <x:c r="F16" s="27"/>
      <x:c r="G16" s="27"/>
      <x:c r="H16" s="38"/>
      <x:c r="I16" s="27"/>
      <x:c r="J16" s="41"/>
      <x:c r="K16" s="38" t="n">
        <x:v>3</x:v>
      </x:c>
      <x:c r="L16" s="41"/>
      <x:c r="M16" s="27"/>
      <x:c r="N16" s="27"/>
      <x:c r="O16" s="27"/>
      <x:c r="P16" s="36" t="str">
        <x:f>IF(B16="","未启用",IF(AND(COUNTA(B16:K16)=10,O16&lt;&gt;"",ISNUMBER(H16),H16&gt;0,MOD(H16,1)=0,ISNUMBER(J16),J16&gt;0,ISNUMBER(K16),K16&gt;=1,K16&lt;=3,MOD(K16,1)=0,COUNTIFS($A$7:$A$18,A16)=1),"齐备","待填写或纠错"))</x:f>
        <x:v>未启用</x:v>
      </x:c>
    </x:row>
    <x:row r="17" ht="76" customHeight="1">
      <x:c r="A17" s="36" t="str">
        <x:v>F11</x:v>
      </x:c>
      <x:c r="B17" s="27"/>
      <x:c r="C17" s="27"/>
      <x:c r="D17" s="27"/>
      <x:c r="E17" s="27"/>
      <x:c r="F17" s="27"/>
      <x:c r="G17" s="27"/>
      <x:c r="H17" s="38"/>
      <x:c r="I17" s="27"/>
      <x:c r="J17" s="41"/>
      <x:c r="K17" s="38" t="n">
        <x:v>3</x:v>
      </x:c>
      <x:c r="L17" s="41"/>
      <x:c r="M17" s="27"/>
      <x:c r="N17" s="27"/>
      <x:c r="O17" s="27"/>
      <x:c r="P17" s="36" t="str">
        <x:f>IF(B17="","未启用",IF(AND(COUNTA(B17:K17)=10,O17&lt;&gt;"",ISNUMBER(H17),H17&gt;0,MOD(H17,1)=0,ISNUMBER(J17),J17&gt;0,ISNUMBER(K17),K17&gt;=1,K17&lt;=3,MOD(K17,1)=0,COUNTIFS($A$7:$A$18,A17)=1),"齐备","待填写或纠错"))</x:f>
        <x:v>未启用</x:v>
      </x:c>
    </x:row>
    <x:row r="18" ht="76" customHeight="1">
      <x:c r="A18" s="36" t="str">
        <x:v>F12</x:v>
      </x:c>
      <x:c r="B18" s="28"/>
      <x:c r="C18" s="28"/>
      <x:c r="D18" s="28"/>
      <x:c r="E18" s="28"/>
      <x:c r="F18" s="28"/>
      <x:c r="G18" s="28"/>
      <x:c r="H18" s="39"/>
      <x:c r="I18" s="28"/>
      <x:c r="J18" s="42"/>
      <x:c r="K18" s="39" t="n">
        <x:v>3</x:v>
      </x:c>
      <x:c r="L18" s="42"/>
      <x:c r="M18" s="28"/>
      <x:c r="N18" s="28"/>
      <x:c r="O18" s="28"/>
      <x:c r="P18" s="36" t="str">
        <x:f>IF(B18="","未启用",IF(AND(COUNTA(B18:K18)=10,O18&lt;&gt;"",ISNUMBER(H18),H18&gt;0,MOD(H18,1)=0,ISNUMBER(J18),J18&gt;0,ISNUMBER(K18),K18&gt;=1,K18&lt;=3,MOD(K18,1)=0,COUNTIFS($A$7:$A$18,A18)=1),"齐备","待填写或纠错"))</x:f>
        <x:v>未启用</x:v>
      </x:c>
    </x:row>
  </x:sheetData>
  <x:conditionalFormatting sqref="P7:P18">
    <x:cfRule type="expression" dxfId="1" priority="1">
      <x:formula>$P7="待填写或纠错"</x:formula>
    </x:cfRule>
  </x:conditionalFormatting>
  <x:dataValidations count="5">
    <x:dataValidation type="list" sqref="D7:D18">
      <x:formula1>"低,中,高"</x:formula1>
    </x:dataValidation>
    <x:dataValidation type="whole" operator="between" sqref="H7:H18">
      <x:formula1>1</x:formula1>
      <x:formula2>10000</x:formula2>
    </x:dataValidation>
    <x:dataValidation type="decimal" operator="between" sqref="J7:J18">
      <x:formula1>1</x:formula1>
      <x:formula2>10000</x:formula2>
    </x:dataValidation>
    <x:dataValidation type="whole" operator="between" sqref="K7:K18">
      <x:formula1>1</x:formula1>
      <x:formula2>3</x:formula2>
    </x:dataValidation>
    <x:dataValidation type="decimal" operator="between" sqref="L7:L18">
      <x:formula1>0</x:formula1>
      <x:formula2>100000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0f21038ecc24f14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5" hidden="0" customWidth="1"/>
    <x:col min="2" max="2" width="20" hidden="0" customWidth="1"/>
    <x:col min="3" max="3" width="24" hidden="0" customWidth="1"/>
    <x:col min="4" max="4" width="16" hidden="0" customWidth="1"/>
    <x:col min="5" max="5" width="18" hidden="0" customWidth="1"/>
    <x:col min="6" max="6" width="43" hidden="0" customWidth="1"/>
    <x:col min="7" max="7" width="38" hidden="0" customWidth="1"/>
    <x:col min="8" max="8" width="30" hidden="0" customWidth="1"/>
    <x:col min="9" max="9" width="33" hidden="0" customWidth="1"/>
    <x:col min="10" max="10" width="37" hidden="0" customWidth="1"/>
    <x:col min="11" max="11" width="18" hidden="0" customWidth="1"/>
    <x:col min="12" max="12" width="40" hidden="0" customWidth="1"/>
    <x:col min="13" max="13" width="15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34" customHeight="1">
      <x:c r="A2" s="4" t="str">
        <x:v>过程与问题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3" ht="25" customHeight="1">
      <x:c r="A3" s="7" t="str">
        <x:v>关键事件一行一条，关联运行ID。保留成功、失败及人工接管行为，支撑评分与原因分析。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 ht="46" customHeight="1">
      <x:c r="A6" s="22" t="str">
        <x:v>事件ID</x:v>
      </x:c>
      <x:c r="B6" s="23" t="str">
        <x:v>运行ID</x:v>
      </x:c>
      <x:c r="C6" s="23" t="str">
        <x:v>发生时间</x:v>
      </x:c>
      <x:c r="D6" s="23" t="str">
        <x:v>阶段</x:v>
      </x:c>
      <x:c r="E6" s="23" t="str">
        <x:v>事件类型</x:v>
      </x:c>
      <x:c r="F6" s="23" t="str">
        <x:v>观察事实 / 原话摘要</x:v>
      </x:c>
      <x:c r="G6" s="23" t="str">
        <x:v>人工操作与投入分钟</x:v>
      </x:c>
      <x:c r="H6" s="23" t="str">
        <x:v>交付或体验影响</x:v>
      </x:c>
      <x:c r="I6" s="23" t="str">
        <x:v>原因假设（待验证）</x:v>
      </x:c>
      <x:c r="J6" s="23" t="str">
        <x:v>会话 / 测试 / 提交证据</x:v>
      </x:c>
      <x:c r="K6" s="23" t="str">
        <x:v>责任人</x:v>
      </x:c>
      <x:c r="L6" s="23" t="str">
        <x:v>改进动作与复验条件</x:v>
      </x:c>
      <x:c r="M6" s="24" t="str">
        <x:v>跟进状态</x:v>
      </x:c>
    </x:row>
    <x:row r="7" ht="45" customHeight="1">
      <x:c r="A7" s="9"/>
      <x:c r="B7" s="9"/>
      <x:c r="C7" s="44"/>
      <x:c r="D7" s="9"/>
      <x:c r="E7" s="9"/>
      <x:c r="F7" s="26"/>
      <x:c r="G7" s="26"/>
      <x:c r="H7" s="26"/>
      <x:c r="I7" s="26"/>
      <x:c r="J7" s="26"/>
      <x:c r="K7" s="26"/>
      <x:c r="L7" s="26"/>
      <x:c r="M7" s="9"/>
    </x:row>
    <x:row r="8" ht="45" customHeight="1">
      <x:c r="A8" s="10"/>
      <x:c r="B8" s="10"/>
      <x:c r="C8" s="45"/>
      <x:c r="D8" s="10"/>
      <x:c r="E8" s="10"/>
      <x:c r="F8" s="27"/>
      <x:c r="G8" s="27"/>
      <x:c r="H8" s="27"/>
      <x:c r="I8" s="27"/>
      <x:c r="J8" s="27"/>
      <x:c r="K8" s="27"/>
      <x:c r="L8" s="27"/>
      <x:c r="M8" s="10"/>
    </x:row>
    <x:row r="9" ht="45" customHeight="1">
      <x:c r="A9" s="10"/>
      <x:c r="B9" s="10"/>
      <x:c r="C9" s="45"/>
      <x:c r="D9" s="10"/>
      <x:c r="E9" s="10"/>
      <x:c r="F9" s="27"/>
      <x:c r="G9" s="27"/>
      <x:c r="H9" s="27"/>
      <x:c r="I9" s="27"/>
      <x:c r="J9" s="27"/>
      <x:c r="K9" s="27"/>
      <x:c r="L9" s="27"/>
      <x:c r="M9" s="10"/>
    </x:row>
    <x:row r="10" ht="45" customHeight="1">
      <x:c r="A10" s="10"/>
      <x:c r="B10" s="10"/>
      <x:c r="C10" s="45"/>
      <x:c r="D10" s="10"/>
      <x:c r="E10" s="10"/>
      <x:c r="F10" s="27"/>
      <x:c r="G10" s="27"/>
      <x:c r="H10" s="27"/>
      <x:c r="I10" s="27"/>
      <x:c r="J10" s="27"/>
      <x:c r="K10" s="27"/>
      <x:c r="L10" s="27"/>
      <x:c r="M10" s="10"/>
    </x:row>
    <x:row r="11" ht="45" customHeight="1">
      <x:c r="A11" s="10"/>
      <x:c r="B11" s="10"/>
      <x:c r="C11" s="45"/>
      <x:c r="D11" s="10"/>
      <x:c r="E11" s="10"/>
      <x:c r="F11" s="27"/>
      <x:c r="G11" s="27"/>
      <x:c r="H11" s="27"/>
      <x:c r="I11" s="27"/>
      <x:c r="J11" s="27"/>
      <x:c r="K11" s="27"/>
      <x:c r="L11" s="27"/>
      <x:c r="M11" s="10"/>
    </x:row>
    <x:row r="12" ht="45" customHeight="1">
      <x:c r="A12" s="10"/>
      <x:c r="B12" s="10"/>
      <x:c r="C12" s="45"/>
      <x:c r="D12" s="10"/>
      <x:c r="E12" s="10"/>
      <x:c r="F12" s="27"/>
      <x:c r="G12" s="27"/>
      <x:c r="H12" s="27"/>
      <x:c r="I12" s="27"/>
      <x:c r="J12" s="27"/>
      <x:c r="K12" s="27"/>
      <x:c r="L12" s="27"/>
      <x:c r="M12" s="10"/>
    </x:row>
    <x:row r="13" ht="45" customHeight="1">
      <x:c r="A13" s="10"/>
      <x:c r="B13" s="10"/>
      <x:c r="C13" s="45"/>
      <x:c r="D13" s="10"/>
      <x:c r="E13" s="10"/>
      <x:c r="F13" s="27"/>
      <x:c r="G13" s="27"/>
      <x:c r="H13" s="27"/>
      <x:c r="I13" s="27"/>
      <x:c r="J13" s="27"/>
      <x:c r="K13" s="27"/>
      <x:c r="L13" s="27"/>
      <x:c r="M13" s="10"/>
    </x:row>
    <x:row r="14" ht="45" customHeight="1">
      <x:c r="A14" s="10"/>
      <x:c r="B14" s="10"/>
      <x:c r="C14" s="45"/>
      <x:c r="D14" s="10"/>
      <x:c r="E14" s="10"/>
      <x:c r="F14" s="27"/>
      <x:c r="G14" s="27"/>
      <x:c r="H14" s="27"/>
      <x:c r="I14" s="27"/>
      <x:c r="J14" s="27"/>
      <x:c r="K14" s="27"/>
      <x:c r="L14" s="27"/>
      <x:c r="M14" s="10"/>
    </x:row>
    <x:row r="15" ht="45" customHeight="1">
      <x:c r="A15" s="10"/>
      <x:c r="B15" s="10"/>
      <x:c r="C15" s="45"/>
      <x:c r="D15" s="10"/>
      <x:c r="E15" s="10"/>
      <x:c r="F15" s="27"/>
      <x:c r="G15" s="27"/>
      <x:c r="H15" s="27"/>
      <x:c r="I15" s="27"/>
      <x:c r="J15" s="27"/>
      <x:c r="K15" s="27"/>
      <x:c r="L15" s="27"/>
      <x:c r="M15" s="10"/>
    </x:row>
    <x:row r="16" ht="45" customHeight="1">
      <x:c r="A16" s="10"/>
      <x:c r="B16" s="10"/>
      <x:c r="C16" s="45"/>
      <x:c r="D16" s="10"/>
      <x:c r="E16" s="10"/>
      <x:c r="F16" s="27"/>
      <x:c r="G16" s="27"/>
      <x:c r="H16" s="27"/>
      <x:c r="I16" s="27"/>
      <x:c r="J16" s="27"/>
      <x:c r="K16" s="27"/>
      <x:c r="L16" s="27"/>
      <x:c r="M16" s="10"/>
    </x:row>
    <x:row r="17" ht="45" customHeight="1">
      <x:c r="A17" s="10"/>
      <x:c r="B17" s="10"/>
      <x:c r="C17" s="45"/>
      <x:c r="D17" s="10"/>
      <x:c r="E17" s="10"/>
      <x:c r="F17" s="27"/>
      <x:c r="G17" s="27"/>
      <x:c r="H17" s="27"/>
      <x:c r="I17" s="27"/>
      <x:c r="J17" s="27"/>
      <x:c r="K17" s="27"/>
      <x:c r="L17" s="27"/>
      <x:c r="M17" s="10"/>
    </x:row>
    <x:row r="18" ht="45" customHeight="1">
      <x:c r="A18" s="10"/>
      <x:c r="B18" s="10"/>
      <x:c r="C18" s="45"/>
      <x:c r="D18" s="10"/>
      <x:c r="E18" s="10"/>
      <x:c r="F18" s="27"/>
      <x:c r="G18" s="27"/>
      <x:c r="H18" s="27"/>
      <x:c r="I18" s="27"/>
      <x:c r="J18" s="27"/>
      <x:c r="K18" s="27"/>
      <x:c r="L18" s="27"/>
      <x:c r="M18" s="10"/>
    </x:row>
    <x:row r="19" ht="45" customHeight="1">
      <x:c r="A19" s="10"/>
      <x:c r="B19" s="10"/>
      <x:c r="C19" s="45"/>
      <x:c r="D19" s="10"/>
      <x:c r="E19" s="10"/>
      <x:c r="F19" s="27"/>
      <x:c r="G19" s="27"/>
      <x:c r="H19" s="27"/>
      <x:c r="I19" s="27"/>
      <x:c r="J19" s="27"/>
      <x:c r="K19" s="27"/>
      <x:c r="L19" s="27"/>
      <x:c r="M19" s="10"/>
    </x:row>
    <x:row r="20" ht="45" customHeight="1">
      <x:c r="A20" s="10"/>
      <x:c r="B20" s="10"/>
      <x:c r="C20" s="45"/>
      <x:c r="D20" s="10"/>
      <x:c r="E20" s="10"/>
      <x:c r="F20" s="27"/>
      <x:c r="G20" s="27"/>
      <x:c r="H20" s="27"/>
      <x:c r="I20" s="27"/>
      <x:c r="J20" s="27"/>
      <x:c r="K20" s="27"/>
      <x:c r="L20" s="27"/>
      <x:c r="M20" s="10"/>
    </x:row>
    <x:row r="21" ht="45" customHeight="1">
      <x:c r="A21" s="10"/>
      <x:c r="B21" s="10"/>
      <x:c r="C21" s="45"/>
      <x:c r="D21" s="10"/>
      <x:c r="E21" s="10"/>
      <x:c r="F21" s="27"/>
      <x:c r="G21" s="27"/>
      <x:c r="H21" s="27"/>
      <x:c r="I21" s="27"/>
      <x:c r="J21" s="27"/>
      <x:c r="K21" s="27"/>
      <x:c r="L21" s="27"/>
      <x:c r="M21" s="10"/>
    </x:row>
    <x:row r="22" ht="45" customHeight="1">
      <x:c r="A22" s="10"/>
      <x:c r="B22" s="10"/>
      <x:c r="C22" s="45"/>
      <x:c r="D22" s="10"/>
      <x:c r="E22" s="10"/>
      <x:c r="F22" s="27"/>
      <x:c r="G22" s="27"/>
      <x:c r="H22" s="27"/>
      <x:c r="I22" s="27"/>
      <x:c r="J22" s="27"/>
      <x:c r="K22" s="27"/>
      <x:c r="L22" s="27"/>
      <x:c r="M22" s="10"/>
    </x:row>
    <x:row r="23" ht="45" customHeight="1">
      <x:c r="A23" s="10"/>
      <x:c r="B23" s="10"/>
      <x:c r="C23" s="45"/>
      <x:c r="D23" s="10"/>
      <x:c r="E23" s="10"/>
      <x:c r="F23" s="27"/>
      <x:c r="G23" s="27"/>
      <x:c r="H23" s="27"/>
      <x:c r="I23" s="27"/>
      <x:c r="J23" s="27"/>
      <x:c r="K23" s="27"/>
      <x:c r="L23" s="27"/>
      <x:c r="M23" s="10"/>
    </x:row>
    <x:row r="24" ht="45" customHeight="1">
      <x:c r="A24" s="10"/>
      <x:c r="B24" s="10"/>
      <x:c r="C24" s="45"/>
      <x:c r="D24" s="10"/>
      <x:c r="E24" s="10"/>
      <x:c r="F24" s="27"/>
      <x:c r="G24" s="27"/>
      <x:c r="H24" s="27"/>
      <x:c r="I24" s="27"/>
      <x:c r="J24" s="27"/>
      <x:c r="K24" s="27"/>
      <x:c r="L24" s="27"/>
      <x:c r="M24" s="10"/>
    </x:row>
    <x:row r="25" ht="45" customHeight="1">
      <x:c r="A25" s="10"/>
      <x:c r="B25" s="10"/>
      <x:c r="C25" s="45"/>
      <x:c r="D25" s="10"/>
      <x:c r="E25" s="10"/>
      <x:c r="F25" s="27"/>
      <x:c r="G25" s="27"/>
      <x:c r="H25" s="27"/>
      <x:c r="I25" s="27"/>
      <x:c r="J25" s="27"/>
      <x:c r="K25" s="27"/>
      <x:c r="L25" s="27"/>
      <x:c r="M25" s="10"/>
    </x:row>
    <x:row r="26" ht="45" customHeight="1">
      <x:c r="A26" s="10"/>
      <x:c r="B26" s="10"/>
      <x:c r="C26" s="45"/>
      <x:c r="D26" s="10"/>
      <x:c r="E26" s="10"/>
      <x:c r="F26" s="27"/>
      <x:c r="G26" s="27"/>
      <x:c r="H26" s="27"/>
      <x:c r="I26" s="27"/>
      <x:c r="J26" s="27"/>
      <x:c r="K26" s="27"/>
      <x:c r="L26" s="27"/>
      <x:c r="M26" s="10"/>
    </x:row>
    <x:row r="27" ht="45" customHeight="1">
      <x:c r="A27" s="10"/>
      <x:c r="B27" s="10"/>
      <x:c r="C27" s="45"/>
      <x:c r="D27" s="10"/>
      <x:c r="E27" s="10"/>
      <x:c r="F27" s="27"/>
      <x:c r="G27" s="27"/>
      <x:c r="H27" s="27"/>
      <x:c r="I27" s="27"/>
      <x:c r="J27" s="27"/>
      <x:c r="K27" s="27"/>
      <x:c r="L27" s="27"/>
      <x:c r="M27" s="10"/>
    </x:row>
    <x:row r="28" ht="45" customHeight="1">
      <x:c r="A28" s="10"/>
      <x:c r="B28" s="10"/>
      <x:c r="C28" s="45"/>
      <x:c r="D28" s="10"/>
      <x:c r="E28" s="10"/>
      <x:c r="F28" s="27"/>
      <x:c r="G28" s="27"/>
      <x:c r="H28" s="27"/>
      <x:c r="I28" s="27"/>
      <x:c r="J28" s="27"/>
      <x:c r="K28" s="27"/>
      <x:c r="L28" s="27"/>
      <x:c r="M28" s="10"/>
    </x:row>
    <x:row r="29" ht="45" customHeight="1">
      <x:c r="A29" s="10"/>
      <x:c r="B29" s="10"/>
      <x:c r="C29" s="45"/>
      <x:c r="D29" s="10"/>
      <x:c r="E29" s="10"/>
      <x:c r="F29" s="27"/>
      <x:c r="G29" s="27"/>
      <x:c r="H29" s="27"/>
      <x:c r="I29" s="27"/>
      <x:c r="J29" s="27"/>
      <x:c r="K29" s="27"/>
      <x:c r="L29" s="27"/>
      <x:c r="M29" s="10"/>
    </x:row>
    <x:row r="30" ht="45" customHeight="1">
      <x:c r="A30" s="10"/>
      <x:c r="B30" s="10"/>
      <x:c r="C30" s="45"/>
      <x:c r="D30" s="10"/>
      <x:c r="E30" s="10"/>
      <x:c r="F30" s="27"/>
      <x:c r="G30" s="27"/>
      <x:c r="H30" s="27"/>
      <x:c r="I30" s="27"/>
      <x:c r="J30" s="27"/>
      <x:c r="K30" s="27"/>
      <x:c r="L30" s="27"/>
      <x:c r="M30" s="10"/>
    </x:row>
    <x:row r="31" ht="45" customHeight="1">
      <x:c r="A31" s="10"/>
      <x:c r="B31" s="10"/>
      <x:c r="C31" s="45"/>
      <x:c r="D31" s="10"/>
      <x:c r="E31" s="10"/>
      <x:c r="F31" s="27"/>
      <x:c r="G31" s="27"/>
      <x:c r="H31" s="27"/>
      <x:c r="I31" s="27"/>
      <x:c r="J31" s="27"/>
      <x:c r="K31" s="27"/>
      <x:c r="L31" s="27"/>
      <x:c r="M31" s="10"/>
    </x:row>
    <x:row r="32" ht="45" customHeight="1">
      <x:c r="A32" s="10"/>
      <x:c r="B32" s="10"/>
      <x:c r="C32" s="45"/>
      <x:c r="D32" s="10"/>
      <x:c r="E32" s="10"/>
      <x:c r="F32" s="27"/>
      <x:c r="G32" s="27"/>
      <x:c r="H32" s="27"/>
      <x:c r="I32" s="27"/>
      <x:c r="J32" s="27"/>
      <x:c r="K32" s="27"/>
      <x:c r="L32" s="27"/>
      <x:c r="M32" s="10"/>
    </x:row>
    <x:row r="33" ht="45" customHeight="1">
      <x:c r="A33" s="10"/>
      <x:c r="B33" s="10"/>
      <x:c r="C33" s="45"/>
      <x:c r="D33" s="10"/>
      <x:c r="E33" s="10"/>
      <x:c r="F33" s="27"/>
      <x:c r="G33" s="27"/>
      <x:c r="H33" s="27"/>
      <x:c r="I33" s="27"/>
      <x:c r="J33" s="27"/>
      <x:c r="K33" s="27"/>
      <x:c r="L33" s="27"/>
      <x:c r="M33" s="10"/>
    </x:row>
    <x:row r="34" ht="45" customHeight="1">
      <x:c r="A34" s="10"/>
      <x:c r="B34" s="10"/>
      <x:c r="C34" s="45"/>
      <x:c r="D34" s="10"/>
      <x:c r="E34" s="10"/>
      <x:c r="F34" s="27"/>
      <x:c r="G34" s="27"/>
      <x:c r="H34" s="27"/>
      <x:c r="I34" s="27"/>
      <x:c r="J34" s="27"/>
      <x:c r="K34" s="27"/>
      <x:c r="L34" s="27"/>
      <x:c r="M34" s="10"/>
    </x:row>
    <x:row r="35" ht="45" customHeight="1">
      <x:c r="A35" s="10"/>
      <x:c r="B35" s="10"/>
      <x:c r="C35" s="45"/>
      <x:c r="D35" s="10"/>
      <x:c r="E35" s="10"/>
      <x:c r="F35" s="27"/>
      <x:c r="G35" s="27"/>
      <x:c r="H35" s="27"/>
      <x:c r="I35" s="27"/>
      <x:c r="J35" s="27"/>
      <x:c r="K35" s="27"/>
      <x:c r="L35" s="27"/>
      <x:c r="M35" s="10"/>
    </x:row>
    <x:row r="36" ht="45" customHeight="1">
      <x:c r="A36" s="10"/>
      <x:c r="B36" s="10"/>
      <x:c r="C36" s="45"/>
      <x:c r="D36" s="10"/>
      <x:c r="E36" s="10"/>
      <x:c r="F36" s="27"/>
      <x:c r="G36" s="27"/>
      <x:c r="H36" s="27"/>
      <x:c r="I36" s="27"/>
      <x:c r="J36" s="27"/>
      <x:c r="K36" s="27"/>
      <x:c r="L36" s="27"/>
      <x:c r="M36" s="10"/>
    </x:row>
    <x:row r="37" ht="45" customHeight="1">
      <x:c r="A37" s="10"/>
      <x:c r="B37" s="10"/>
      <x:c r="C37" s="45"/>
      <x:c r="D37" s="10"/>
      <x:c r="E37" s="10"/>
      <x:c r="F37" s="27"/>
      <x:c r="G37" s="27"/>
      <x:c r="H37" s="27"/>
      <x:c r="I37" s="27"/>
      <x:c r="J37" s="27"/>
      <x:c r="K37" s="27"/>
      <x:c r="L37" s="27"/>
      <x:c r="M37" s="10"/>
    </x:row>
    <x:row r="38" ht="45" customHeight="1">
      <x:c r="A38" s="10"/>
      <x:c r="B38" s="10"/>
      <x:c r="C38" s="45"/>
      <x:c r="D38" s="10"/>
      <x:c r="E38" s="10"/>
      <x:c r="F38" s="27"/>
      <x:c r="G38" s="27"/>
      <x:c r="H38" s="27"/>
      <x:c r="I38" s="27"/>
      <x:c r="J38" s="27"/>
      <x:c r="K38" s="27"/>
      <x:c r="L38" s="27"/>
      <x:c r="M38" s="10"/>
    </x:row>
    <x:row r="39" ht="45" customHeight="1">
      <x:c r="A39" s="10"/>
      <x:c r="B39" s="10"/>
      <x:c r="C39" s="45"/>
      <x:c r="D39" s="10"/>
      <x:c r="E39" s="10"/>
      <x:c r="F39" s="27"/>
      <x:c r="G39" s="27"/>
      <x:c r="H39" s="27"/>
      <x:c r="I39" s="27"/>
      <x:c r="J39" s="27"/>
      <x:c r="K39" s="27"/>
      <x:c r="L39" s="27"/>
      <x:c r="M39" s="10"/>
    </x:row>
    <x:row r="40" ht="45" customHeight="1">
      <x:c r="A40" s="10"/>
      <x:c r="B40" s="10"/>
      <x:c r="C40" s="45"/>
      <x:c r="D40" s="10"/>
      <x:c r="E40" s="10"/>
      <x:c r="F40" s="27"/>
      <x:c r="G40" s="27"/>
      <x:c r="H40" s="27"/>
      <x:c r="I40" s="27"/>
      <x:c r="J40" s="27"/>
      <x:c r="K40" s="27"/>
      <x:c r="L40" s="27"/>
      <x:c r="M40" s="10"/>
    </x:row>
    <x:row r="41" ht="45" customHeight="1">
      <x:c r="A41" s="10"/>
      <x:c r="B41" s="10"/>
      <x:c r="C41" s="45"/>
      <x:c r="D41" s="10"/>
      <x:c r="E41" s="10"/>
      <x:c r="F41" s="27"/>
      <x:c r="G41" s="27"/>
      <x:c r="H41" s="27"/>
      <x:c r="I41" s="27"/>
      <x:c r="J41" s="27"/>
      <x:c r="K41" s="27"/>
      <x:c r="L41" s="27"/>
      <x:c r="M41" s="10"/>
    </x:row>
    <x:row r="42" ht="45" customHeight="1">
      <x:c r="A42" s="10"/>
      <x:c r="B42" s="10"/>
      <x:c r="C42" s="45"/>
      <x:c r="D42" s="10"/>
      <x:c r="E42" s="10"/>
      <x:c r="F42" s="27"/>
      <x:c r="G42" s="27"/>
      <x:c r="H42" s="27"/>
      <x:c r="I42" s="27"/>
      <x:c r="J42" s="27"/>
      <x:c r="K42" s="27"/>
      <x:c r="L42" s="27"/>
      <x:c r="M42" s="10"/>
    </x:row>
    <x:row r="43" ht="45" customHeight="1">
      <x:c r="A43" s="10"/>
      <x:c r="B43" s="10"/>
      <x:c r="C43" s="45"/>
      <x:c r="D43" s="10"/>
      <x:c r="E43" s="10"/>
      <x:c r="F43" s="27"/>
      <x:c r="G43" s="27"/>
      <x:c r="H43" s="27"/>
      <x:c r="I43" s="27"/>
      <x:c r="J43" s="27"/>
      <x:c r="K43" s="27"/>
      <x:c r="L43" s="27"/>
      <x:c r="M43" s="10"/>
    </x:row>
    <x:row r="44" ht="45" customHeight="1">
      <x:c r="A44" s="10"/>
      <x:c r="B44" s="10"/>
      <x:c r="C44" s="45"/>
      <x:c r="D44" s="10"/>
      <x:c r="E44" s="10"/>
      <x:c r="F44" s="27"/>
      <x:c r="G44" s="27"/>
      <x:c r="H44" s="27"/>
      <x:c r="I44" s="27"/>
      <x:c r="J44" s="27"/>
      <x:c r="K44" s="27"/>
      <x:c r="L44" s="27"/>
      <x:c r="M44" s="10"/>
    </x:row>
    <x:row r="45" ht="45" customHeight="1">
      <x:c r="A45" s="10"/>
      <x:c r="B45" s="10"/>
      <x:c r="C45" s="45"/>
      <x:c r="D45" s="10"/>
      <x:c r="E45" s="10"/>
      <x:c r="F45" s="27"/>
      <x:c r="G45" s="27"/>
      <x:c r="H45" s="27"/>
      <x:c r="I45" s="27"/>
      <x:c r="J45" s="27"/>
      <x:c r="K45" s="27"/>
      <x:c r="L45" s="27"/>
      <x:c r="M45" s="10"/>
    </x:row>
    <x:row r="46" ht="45" customHeight="1">
      <x:c r="A46" s="10"/>
      <x:c r="B46" s="10"/>
      <x:c r="C46" s="45"/>
      <x:c r="D46" s="10"/>
      <x:c r="E46" s="10"/>
      <x:c r="F46" s="27"/>
      <x:c r="G46" s="27"/>
      <x:c r="H46" s="27"/>
      <x:c r="I46" s="27"/>
      <x:c r="J46" s="27"/>
      <x:c r="K46" s="27"/>
      <x:c r="L46" s="27"/>
      <x:c r="M46" s="10"/>
    </x:row>
    <x:row r="47" ht="45" customHeight="1">
      <x:c r="A47" s="10"/>
      <x:c r="B47" s="10"/>
      <x:c r="C47" s="45"/>
      <x:c r="D47" s="10"/>
      <x:c r="E47" s="10"/>
      <x:c r="F47" s="27"/>
      <x:c r="G47" s="27"/>
      <x:c r="H47" s="27"/>
      <x:c r="I47" s="27"/>
      <x:c r="J47" s="27"/>
      <x:c r="K47" s="27"/>
      <x:c r="L47" s="27"/>
      <x:c r="M47" s="10"/>
    </x:row>
    <x:row r="48" ht="45" customHeight="1">
      <x:c r="A48" s="10"/>
      <x:c r="B48" s="10"/>
      <x:c r="C48" s="45"/>
      <x:c r="D48" s="10"/>
      <x:c r="E48" s="10"/>
      <x:c r="F48" s="27"/>
      <x:c r="G48" s="27"/>
      <x:c r="H48" s="27"/>
      <x:c r="I48" s="27"/>
      <x:c r="J48" s="27"/>
      <x:c r="K48" s="27"/>
      <x:c r="L48" s="27"/>
      <x:c r="M48" s="10"/>
    </x:row>
    <x:row r="49" ht="45" customHeight="1">
      <x:c r="A49" s="10"/>
      <x:c r="B49" s="10"/>
      <x:c r="C49" s="45"/>
      <x:c r="D49" s="10"/>
      <x:c r="E49" s="10"/>
      <x:c r="F49" s="27"/>
      <x:c r="G49" s="27"/>
      <x:c r="H49" s="27"/>
      <x:c r="I49" s="27"/>
      <x:c r="J49" s="27"/>
      <x:c r="K49" s="27"/>
      <x:c r="L49" s="27"/>
      <x:c r="M49" s="10"/>
    </x:row>
    <x:row r="50" ht="45" customHeight="1">
      <x:c r="A50" s="10"/>
      <x:c r="B50" s="10"/>
      <x:c r="C50" s="45"/>
      <x:c r="D50" s="10"/>
      <x:c r="E50" s="10"/>
      <x:c r="F50" s="27"/>
      <x:c r="G50" s="27"/>
      <x:c r="H50" s="27"/>
      <x:c r="I50" s="27"/>
      <x:c r="J50" s="27"/>
      <x:c r="K50" s="27"/>
      <x:c r="L50" s="27"/>
      <x:c r="M50" s="10"/>
    </x:row>
    <x:row r="51" ht="45" customHeight="1">
      <x:c r="A51" s="10"/>
      <x:c r="B51" s="10"/>
      <x:c r="C51" s="45"/>
      <x:c r="D51" s="10"/>
      <x:c r="E51" s="10"/>
      <x:c r="F51" s="27"/>
      <x:c r="G51" s="27"/>
      <x:c r="H51" s="27"/>
      <x:c r="I51" s="27"/>
      <x:c r="J51" s="27"/>
      <x:c r="K51" s="27"/>
      <x:c r="L51" s="27"/>
      <x:c r="M51" s="10"/>
    </x:row>
    <x:row r="52" ht="45" customHeight="1">
      <x:c r="A52" s="10"/>
      <x:c r="B52" s="10"/>
      <x:c r="C52" s="45"/>
      <x:c r="D52" s="10"/>
      <x:c r="E52" s="10"/>
      <x:c r="F52" s="27"/>
      <x:c r="G52" s="27"/>
      <x:c r="H52" s="27"/>
      <x:c r="I52" s="27"/>
      <x:c r="J52" s="27"/>
      <x:c r="K52" s="27"/>
      <x:c r="L52" s="27"/>
      <x:c r="M52" s="10"/>
    </x:row>
    <x:row r="53" ht="45" customHeight="1">
      <x:c r="A53" s="10"/>
      <x:c r="B53" s="10"/>
      <x:c r="C53" s="45"/>
      <x:c r="D53" s="10"/>
      <x:c r="E53" s="10"/>
      <x:c r="F53" s="27"/>
      <x:c r="G53" s="27"/>
      <x:c r="H53" s="27"/>
      <x:c r="I53" s="27"/>
      <x:c r="J53" s="27"/>
      <x:c r="K53" s="27"/>
      <x:c r="L53" s="27"/>
      <x:c r="M53" s="10"/>
    </x:row>
    <x:row r="54" ht="45" customHeight="1">
      <x:c r="A54" s="10"/>
      <x:c r="B54" s="10"/>
      <x:c r="C54" s="45"/>
      <x:c r="D54" s="10"/>
      <x:c r="E54" s="10"/>
      <x:c r="F54" s="27"/>
      <x:c r="G54" s="27"/>
      <x:c r="H54" s="27"/>
      <x:c r="I54" s="27"/>
      <x:c r="J54" s="27"/>
      <x:c r="K54" s="27"/>
      <x:c r="L54" s="27"/>
      <x:c r="M54" s="10"/>
    </x:row>
    <x:row r="55" ht="45" customHeight="1">
      <x:c r="A55" s="10"/>
      <x:c r="B55" s="10"/>
      <x:c r="C55" s="45"/>
      <x:c r="D55" s="10"/>
      <x:c r="E55" s="10"/>
      <x:c r="F55" s="27"/>
      <x:c r="G55" s="27"/>
      <x:c r="H55" s="27"/>
      <x:c r="I55" s="27"/>
      <x:c r="J55" s="27"/>
      <x:c r="K55" s="27"/>
      <x:c r="L55" s="27"/>
      <x:c r="M55" s="10"/>
    </x:row>
    <x:row r="56" ht="45" customHeight="1">
      <x:c r="A56" s="10"/>
      <x:c r="B56" s="10"/>
      <x:c r="C56" s="45"/>
      <x:c r="D56" s="10"/>
      <x:c r="E56" s="10"/>
      <x:c r="F56" s="27"/>
      <x:c r="G56" s="27"/>
      <x:c r="H56" s="27"/>
      <x:c r="I56" s="27"/>
      <x:c r="J56" s="27"/>
      <x:c r="K56" s="27"/>
      <x:c r="L56" s="27"/>
      <x:c r="M56" s="10"/>
    </x:row>
    <x:row r="57" ht="45" customHeight="1">
      <x:c r="A57" s="10"/>
      <x:c r="B57" s="10"/>
      <x:c r="C57" s="45"/>
      <x:c r="D57" s="10"/>
      <x:c r="E57" s="10"/>
      <x:c r="F57" s="27"/>
      <x:c r="G57" s="27"/>
      <x:c r="H57" s="27"/>
      <x:c r="I57" s="27"/>
      <x:c r="J57" s="27"/>
      <x:c r="K57" s="27"/>
      <x:c r="L57" s="27"/>
      <x:c r="M57" s="10"/>
    </x:row>
    <x:row r="58" ht="45" customHeight="1">
      <x:c r="A58" s="10"/>
      <x:c r="B58" s="10"/>
      <x:c r="C58" s="45"/>
      <x:c r="D58" s="10"/>
      <x:c r="E58" s="10"/>
      <x:c r="F58" s="27"/>
      <x:c r="G58" s="27"/>
      <x:c r="H58" s="27"/>
      <x:c r="I58" s="27"/>
      <x:c r="J58" s="27"/>
      <x:c r="K58" s="27"/>
      <x:c r="L58" s="27"/>
      <x:c r="M58" s="10"/>
    </x:row>
    <x:row r="59" ht="45" customHeight="1">
      <x:c r="A59" s="10"/>
      <x:c r="B59" s="10"/>
      <x:c r="C59" s="45"/>
      <x:c r="D59" s="10"/>
      <x:c r="E59" s="10"/>
      <x:c r="F59" s="27"/>
      <x:c r="G59" s="27"/>
      <x:c r="H59" s="27"/>
      <x:c r="I59" s="27"/>
      <x:c r="J59" s="27"/>
      <x:c r="K59" s="27"/>
      <x:c r="L59" s="27"/>
      <x:c r="M59" s="10"/>
    </x:row>
    <x:row r="60" ht="45" customHeight="1">
      <x:c r="A60" s="10"/>
      <x:c r="B60" s="10"/>
      <x:c r="C60" s="45"/>
      <x:c r="D60" s="10"/>
      <x:c r="E60" s="10"/>
      <x:c r="F60" s="27"/>
      <x:c r="G60" s="27"/>
      <x:c r="H60" s="27"/>
      <x:c r="I60" s="27"/>
      <x:c r="J60" s="27"/>
      <x:c r="K60" s="27"/>
      <x:c r="L60" s="27"/>
      <x:c r="M60" s="10"/>
    </x:row>
    <x:row r="61" ht="45" customHeight="1">
      <x:c r="A61" s="10"/>
      <x:c r="B61" s="10"/>
      <x:c r="C61" s="45"/>
      <x:c r="D61" s="10"/>
      <x:c r="E61" s="10"/>
      <x:c r="F61" s="27"/>
      <x:c r="G61" s="27"/>
      <x:c r="H61" s="27"/>
      <x:c r="I61" s="27"/>
      <x:c r="J61" s="27"/>
      <x:c r="K61" s="27"/>
      <x:c r="L61" s="27"/>
      <x:c r="M61" s="10"/>
    </x:row>
    <x:row r="62" ht="45" customHeight="1">
      <x:c r="A62" s="10"/>
      <x:c r="B62" s="10"/>
      <x:c r="C62" s="45"/>
      <x:c r="D62" s="10"/>
      <x:c r="E62" s="10"/>
      <x:c r="F62" s="27"/>
      <x:c r="G62" s="27"/>
      <x:c r="H62" s="27"/>
      <x:c r="I62" s="27"/>
      <x:c r="J62" s="27"/>
      <x:c r="K62" s="27"/>
      <x:c r="L62" s="27"/>
      <x:c r="M62" s="10"/>
    </x:row>
    <x:row r="63" ht="45" customHeight="1">
      <x:c r="A63" s="10"/>
      <x:c r="B63" s="10"/>
      <x:c r="C63" s="45"/>
      <x:c r="D63" s="10"/>
      <x:c r="E63" s="10"/>
      <x:c r="F63" s="27"/>
      <x:c r="G63" s="27"/>
      <x:c r="H63" s="27"/>
      <x:c r="I63" s="27"/>
      <x:c r="J63" s="27"/>
      <x:c r="K63" s="27"/>
      <x:c r="L63" s="27"/>
      <x:c r="M63" s="10"/>
    </x:row>
    <x:row r="64" ht="45" customHeight="1">
      <x:c r="A64" s="10"/>
      <x:c r="B64" s="10"/>
      <x:c r="C64" s="45"/>
      <x:c r="D64" s="10"/>
      <x:c r="E64" s="10"/>
      <x:c r="F64" s="27"/>
      <x:c r="G64" s="27"/>
      <x:c r="H64" s="27"/>
      <x:c r="I64" s="27"/>
      <x:c r="J64" s="27"/>
      <x:c r="K64" s="27"/>
      <x:c r="L64" s="27"/>
      <x:c r="M64" s="10"/>
    </x:row>
    <x:row r="65" ht="45" customHeight="1">
      <x:c r="A65" s="10"/>
      <x:c r="B65" s="10"/>
      <x:c r="C65" s="45"/>
      <x:c r="D65" s="10"/>
      <x:c r="E65" s="10"/>
      <x:c r="F65" s="27"/>
      <x:c r="G65" s="27"/>
      <x:c r="H65" s="27"/>
      <x:c r="I65" s="27"/>
      <x:c r="J65" s="27"/>
      <x:c r="K65" s="27"/>
      <x:c r="L65" s="27"/>
      <x:c r="M65" s="10"/>
    </x:row>
    <x:row r="66" ht="45" customHeight="1">
      <x:c r="A66" s="10"/>
      <x:c r="B66" s="10"/>
      <x:c r="C66" s="45"/>
      <x:c r="D66" s="10"/>
      <x:c r="E66" s="10"/>
      <x:c r="F66" s="27"/>
      <x:c r="G66" s="27"/>
      <x:c r="H66" s="27"/>
      <x:c r="I66" s="27"/>
      <x:c r="J66" s="27"/>
      <x:c r="K66" s="27"/>
      <x:c r="L66" s="27"/>
      <x:c r="M66" s="10"/>
    </x:row>
    <x:row r="67" ht="45" customHeight="1">
      <x:c r="A67" s="10"/>
      <x:c r="B67" s="10"/>
      <x:c r="C67" s="45"/>
      <x:c r="D67" s="10"/>
      <x:c r="E67" s="10"/>
      <x:c r="F67" s="27"/>
      <x:c r="G67" s="27"/>
      <x:c r="H67" s="27"/>
      <x:c r="I67" s="27"/>
      <x:c r="J67" s="27"/>
      <x:c r="K67" s="27"/>
      <x:c r="L67" s="27"/>
      <x:c r="M67" s="10"/>
    </x:row>
    <x:row r="68" ht="45" customHeight="1">
      <x:c r="A68" s="10"/>
      <x:c r="B68" s="10"/>
      <x:c r="C68" s="45"/>
      <x:c r="D68" s="10"/>
      <x:c r="E68" s="10"/>
      <x:c r="F68" s="27"/>
      <x:c r="G68" s="27"/>
      <x:c r="H68" s="27"/>
      <x:c r="I68" s="27"/>
      <x:c r="J68" s="27"/>
      <x:c r="K68" s="27"/>
      <x:c r="L68" s="27"/>
      <x:c r="M68" s="10"/>
    </x:row>
    <x:row r="69" ht="45" customHeight="1">
      <x:c r="A69" s="10"/>
      <x:c r="B69" s="10"/>
      <x:c r="C69" s="45"/>
      <x:c r="D69" s="10"/>
      <x:c r="E69" s="10"/>
      <x:c r="F69" s="27"/>
      <x:c r="G69" s="27"/>
      <x:c r="H69" s="27"/>
      <x:c r="I69" s="27"/>
      <x:c r="J69" s="27"/>
      <x:c r="K69" s="27"/>
      <x:c r="L69" s="27"/>
      <x:c r="M69" s="10"/>
    </x:row>
    <x:row r="70" ht="45" customHeight="1">
      <x:c r="A70" s="10"/>
      <x:c r="B70" s="10"/>
      <x:c r="C70" s="45"/>
      <x:c r="D70" s="10"/>
      <x:c r="E70" s="10"/>
      <x:c r="F70" s="27"/>
      <x:c r="G70" s="27"/>
      <x:c r="H70" s="27"/>
      <x:c r="I70" s="27"/>
      <x:c r="J70" s="27"/>
      <x:c r="K70" s="27"/>
      <x:c r="L70" s="27"/>
      <x:c r="M70" s="10"/>
    </x:row>
    <x:row r="71" ht="45" customHeight="1">
      <x:c r="A71" s="10"/>
      <x:c r="B71" s="10"/>
      <x:c r="C71" s="45"/>
      <x:c r="D71" s="10"/>
      <x:c r="E71" s="10"/>
      <x:c r="F71" s="27"/>
      <x:c r="G71" s="27"/>
      <x:c r="H71" s="27"/>
      <x:c r="I71" s="27"/>
      <x:c r="J71" s="27"/>
      <x:c r="K71" s="27"/>
      <x:c r="L71" s="27"/>
      <x:c r="M71" s="10"/>
    </x:row>
    <x:row r="72" ht="45" customHeight="1">
      <x:c r="A72" s="10"/>
      <x:c r="B72" s="10"/>
      <x:c r="C72" s="45"/>
      <x:c r="D72" s="10"/>
      <x:c r="E72" s="10"/>
      <x:c r="F72" s="27"/>
      <x:c r="G72" s="27"/>
      <x:c r="H72" s="27"/>
      <x:c r="I72" s="27"/>
      <x:c r="J72" s="27"/>
      <x:c r="K72" s="27"/>
      <x:c r="L72" s="27"/>
      <x:c r="M72" s="10"/>
    </x:row>
    <x:row r="73" ht="45" customHeight="1">
      <x:c r="A73" s="10"/>
      <x:c r="B73" s="10"/>
      <x:c r="C73" s="45"/>
      <x:c r="D73" s="10"/>
      <x:c r="E73" s="10"/>
      <x:c r="F73" s="27"/>
      <x:c r="G73" s="27"/>
      <x:c r="H73" s="27"/>
      <x:c r="I73" s="27"/>
      <x:c r="J73" s="27"/>
      <x:c r="K73" s="27"/>
      <x:c r="L73" s="27"/>
      <x:c r="M73" s="10"/>
    </x:row>
    <x:row r="74" ht="45" customHeight="1">
      <x:c r="A74" s="10"/>
      <x:c r="B74" s="10"/>
      <x:c r="C74" s="45"/>
      <x:c r="D74" s="10"/>
      <x:c r="E74" s="10"/>
      <x:c r="F74" s="27"/>
      <x:c r="G74" s="27"/>
      <x:c r="H74" s="27"/>
      <x:c r="I74" s="27"/>
      <x:c r="J74" s="27"/>
      <x:c r="K74" s="27"/>
      <x:c r="L74" s="27"/>
      <x:c r="M74" s="10"/>
    </x:row>
    <x:row r="75" ht="45" customHeight="1">
      <x:c r="A75" s="10"/>
      <x:c r="B75" s="10"/>
      <x:c r="C75" s="45"/>
      <x:c r="D75" s="10"/>
      <x:c r="E75" s="10"/>
      <x:c r="F75" s="27"/>
      <x:c r="G75" s="27"/>
      <x:c r="H75" s="27"/>
      <x:c r="I75" s="27"/>
      <x:c r="J75" s="27"/>
      <x:c r="K75" s="27"/>
      <x:c r="L75" s="27"/>
      <x:c r="M75" s="10"/>
    </x:row>
    <x:row r="76" ht="45" customHeight="1">
      <x:c r="A76" s="10"/>
      <x:c r="B76" s="10"/>
      <x:c r="C76" s="45"/>
      <x:c r="D76" s="10"/>
      <x:c r="E76" s="10"/>
      <x:c r="F76" s="27"/>
      <x:c r="G76" s="27"/>
      <x:c r="H76" s="27"/>
      <x:c r="I76" s="27"/>
      <x:c r="J76" s="27"/>
      <x:c r="K76" s="27"/>
      <x:c r="L76" s="27"/>
      <x:c r="M76" s="10"/>
    </x:row>
    <x:row r="77" ht="45" customHeight="1">
      <x:c r="A77" s="10"/>
      <x:c r="B77" s="10"/>
      <x:c r="C77" s="45"/>
      <x:c r="D77" s="10"/>
      <x:c r="E77" s="10"/>
      <x:c r="F77" s="27"/>
      <x:c r="G77" s="27"/>
      <x:c r="H77" s="27"/>
      <x:c r="I77" s="27"/>
      <x:c r="J77" s="27"/>
      <x:c r="K77" s="27"/>
      <x:c r="L77" s="27"/>
      <x:c r="M77" s="10"/>
    </x:row>
    <x:row r="78" ht="45" customHeight="1">
      <x:c r="A78" s="10"/>
      <x:c r="B78" s="10"/>
      <x:c r="C78" s="45"/>
      <x:c r="D78" s="10"/>
      <x:c r="E78" s="10"/>
      <x:c r="F78" s="27"/>
      <x:c r="G78" s="27"/>
      <x:c r="H78" s="27"/>
      <x:c r="I78" s="27"/>
      <x:c r="J78" s="27"/>
      <x:c r="K78" s="27"/>
      <x:c r="L78" s="27"/>
      <x:c r="M78" s="10"/>
    </x:row>
    <x:row r="79" ht="45" customHeight="1">
      <x:c r="A79" s="10"/>
      <x:c r="B79" s="10"/>
      <x:c r="C79" s="45"/>
      <x:c r="D79" s="10"/>
      <x:c r="E79" s="10"/>
      <x:c r="F79" s="27"/>
      <x:c r="G79" s="27"/>
      <x:c r="H79" s="27"/>
      <x:c r="I79" s="27"/>
      <x:c r="J79" s="27"/>
      <x:c r="K79" s="27"/>
      <x:c r="L79" s="27"/>
      <x:c r="M79" s="10"/>
    </x:row>
    <x:row r="80" ht="45" customHeight="1">
      <x:c r="A80" s="10"/>
      <x:c r="B80" s="10"/>
      <x:c r="C80" s="45"/>
      <x:c r="D80" s="10"/>
      <x:c r="E80" s="10"/>
      <x:c r="F80" s="27"/>
      <x:c r="G80" s="27"/>
      <x:c r="H80" s="27"/>
      <x:c r="I80" s="27"/>
      <x:c r="J80" s="27"/>
      <x:c r="K80" s="27"/>
      <x:c r="L80" s="27"/>
      <x:c r="M80" s="10"/>
    </x:row>
    <x:row r="81" ht="45" customHeight="1">
      <x:c r="A81" s="10"/>
      <x:c r="B81" s="10"/>
      <x:c r="C81" s="45"/>
      <x:c r="D81" s="10"/>
      <x:c r="E81" s="10"/>
      <x:c r="F81" s="27"/>
      <x:c r="G81" s="27"/>
      <x:c r="H81" s="27"/>
      <x:c r="I81" s="27"/>
      <x:c r="J81" s="27"/>
      <x:c r="K81" s="27"/>
      <x:c r="L81" s="27"/>
      <x:c r="M81" s="10"/>
    </x:row>
    <x:row r="82" ht="45" customHeight="1">
      <x:c r="A82" s="10"/>
      <x:c r="B82" s="10"/>
      <x:c r="C82" s="45"/>
      <x:c r="D82" s="10"/>
      <x:c r="E82" s="10"/>
      <x:c r="F82" s="27"/>
      <x:c r="G82" s="27"/>
      <x:c r="H82" s="27"/>
      <x:c r="I82" s="27"/>
      <x:c r="J82" s="27"/>
      <x:c r="K82" s="27"/>
      <x:c r="L82" s="27"/>
      <x:c r="M82" s="10"/>
    </x:row>
    <x:row r="83" ht="45" customHeight="1">
      <x:c r="A83" s="10"/>
      <x:c r="B83" s="10"/>
      <x:c r="C83" s="45"/>
      <x:c r="D83" s="10"/>
      <x:c r="E83" s="10"/>
      <x:c r="F83" s="27"/>
      <x:c r="G83" s="27"/>
      <x:c r="H83" s="27"/>
      <x:c r="I83" s="27"/>
      <x:c r="J83" s="27"/>
      <x:c r="K83" s="27"/>
      <x:c r="L83" s="27"/>
      <x:c r="M83" s="10"/>
    </x:row>
    <x:row r="84" ht="45" customHeight="1">
      <x:c r="A84" s="10"/>
      <x:c r="B84" s="10"/>
      <x:c r="C84" s="45"/>
      <x:c r="D84" s="10"/>
      <x:c r="E84" s="10"/>
      <x:c r="F84" s="27"/>
      <x:c r="G84" s="27"/>
      <x:c r="H84" s="27"/>
      <x:c r="I84" s="27"/>
      <x:c r="J84" s="27"/>
      <x:c r="K84" s="27"/>
      <x:c r="L84" s="27"/>
      <x:c r="M84" s="10"/>
    </x:row>
    <x:row r="85" ht="45" customHeight="1">
      <x:c r="A85" s="10"/>
      <x:c r="B85" s="10"/>
      <x:c r="C85" s="45"/>
      <x:c r="D85" s="10"/>
      <x:c r="E85" s="10"/>
      <x:c r="F85" s="27"/>
      <x:c r="G85" s="27"/>
      <x:c r="H85" s="27"/>
      <x:c r="I85" s="27"/>
      <x:c r="J85" s="27"/>
      <x:c r="K85" s="27"/>
      <x:c r="L85" s="27"/>
      <x:c r="M85" s="10"/>
    </x:row>
    <x:row r="86" ht="45" customHeight="1">
      <x:c r="A86" s="10"/>
      <x:c r="B86" s="10"/>
      <x:c r="C86" s="45"/>
      <x:c r="D86" s="10"/>
      <x:c r="E86" s="10"/>
      <x:c r="F86" s="27"/>
      <x:c r="G86" s="27"/>
      <x:c r="H86" s="27"/>
      <x:c r="I86" s="27"/>
      <x:c r="J86" s="27"/>
      <x:c r="K86" s="27"/>
      <x:c r="L86" s="27"/>
      <x:c r="M86" s="10"/>
    </x:row>
    <x:row r="87" ht="45" customHeight="1">
      <x:c r="A87" s="10"/>
      <x:c r="B87" s="10"/>
      <x:c r="C87" s="45"/>
      <x:c r="D87" s="10"/>
      <x:c r="E87" s="10"/>
      <x:c r="F87" s="27"/>
      <x:c r="G87" s="27"/>
      <x:c r="H87" s="27"/>
      <x:c r="I87" s="27"/>
      <x:c r="J87" s="27"/>
      <x:c r="K87" s="27"/>
      <x:c r="L87" s="27"/>
      <x:c r="M87" s="10"/>
    </x:row>
    <x:row r="88" ht="45" customHeight="1">
      <x:c r="A88" s="10"/>
      <x:c r="B88" s="10"/>
      <x:c r="C88" s="45"/>
      <x:c r="D88" s="10"/>
      <x:c r="E88" s="10"/>
      <x:c r="F88" s="27"/>
      <x:c r="G88" s="27"/>
      <x:c r="H88" s="27"/>
      <x:c r="I88" s="27"/>
      <x:c r="J88" s="27"/>
      <x:c r="K88" s="27"/>
      <x:c r="L88" s="27"/>
      <x:c r="M88" s="10"/>
    </x:row>
    <x:row r="89" ht="45" customHeight="1">
      <x:c r="A89" s="10"/>
      <x:c r="B89" s="10"/>
      <x:c r="C89" s="45"/>
      <x:c r="D89" s="10"/>
      <x:c r="E89" s="10"/>
      <x:c r="F89" s="27"/>
      <x:c r="G89" s="27"/>
      <x:c r="H89" s="27"/>
      <x:c r="I89" s="27"/>
      <x:c r="J89" s="27"/>
      <x:c r="K89" s="27"/>
      <x:c r="L89" s="27"/>
      <x:c r="M89" s="10"/>
    </x:row>
    <x:row r="90" ht="45" customHeight="1">
      <x:c r="A90" s="10"/>
      <x:c r="B90" s="10"/>
      <x:c r="C90" s="45"/>
      <x:c r="D90" s="10"/>
      <x:c r="E90" s="10"/>
      <x:c r="F90" s="27"/>
      <x:c r="G90" s="27"/>
      <x:c r="H90" s="27"/>
      <x:c r="I90" s="27"/>
      <x:c r="J90" s="27"/>
      <x:c r="K90" s="27"/>
      <x:c r="L90" s="27"/>
      <x:c r="M90" s="10"/>
    </x:row>
    <x:row r="91" ht="45" customHeight="1">
      <x:c r="A91" s="10"/>
      <x:c r="B91" s="10"/>
      <x:c r="C91" s="45"/>
      <x:c r="D91" s="10"/>
      <x:c r="E91" s="10"/>
      <x:c r="F91" s="27"/>
      <x:c r="G91" s="27"/>
      <x:c r="H91" s="27"/>
      <x:c r="I91" s="27"/>
      <x:c r="J91" s="27"/>
      <x:c r="K91" s="27"/>
      <x:c r="L91" s="27"/>
      <x:c r="M91" s="10"/>
    </x:row>
    <x:row r="92" ht="45" customHeight="1">
      <x:c r="A92" s="10"/>
      <x:c r="B92" s="10"/>
      <x:c r="C92" s="45"/>
      <x:c r="D92" s="10"/>
      <x:c r="E92" s="10"/>
      <x:c r="F92" s="27"/>
      <x:c r="G92" s="27"/>
      <x:c r="H92" s="27"/>
      <x:c r="I92" s="27"/>
      <x:c r="J92" s="27"/>
      <x:c r="K92" s="27"/>
      <x:c r="L92" s="27"/>
      <x:c r="M92" s="10"/>
    </x:row>
    <x:row r="93" ht="45" customHeight="1">
      <x:c r="A93" s="10"/>
      <x:c r="B93" s="10"/>
      <x:c r="C93" s="45"/>
      <x:c r="D93" s="10"/>
      <x:c r="E93" s="10"/>
      <x:c r="F93" s="27"/>
      <x:c r="G93" s="27"/>
      <x:c r="H93" s="27"/>
      <x:c r="I93" s="27"/>
      <x:c r="J93" s="27"/>
      <x:c r="K93" s="27"/>
      <x:c r="L93" s="27"/>
      <x:c r="M93" s="10"/>
    </x:row>
    <x:row r="94" ht="45" customHeight="1">
      <x:c r="A94" s="10"/>
      <x:c r="B94" s="10"/>
      <x:c r="C94" s="45"/>
      <x:c r="D94" s="10"/>
      <x:c r="E94" s="10"/>
      <x:c r="F94" s="27"/>
      <x:c r="G94" s="27"/>
      <x:c r="H94" s="27"/>
      <x:c r="I94" s="27"/>
      <x:c r="J94" s="27"/>
      <x:c r="K94" s="27"/>
      <x:c r="L94" s="27"/>
      <x:c r="M94" s="10"/>
    </x:row>
    <x:row r="95" ht="45" customHeight="1">
      <x:c r="A95" s="10"/>
      <x:c r="B95" s="10"/>
      <x:c r="C95" s="45"/>
      <x:c r="D95" s="10"/>
      <x:c r="E95" s="10"/>
      <x:c r="F95" s="27"/>
      <x:c r="G95" s="27"/>
      <x:c r="H95" s="27"/>
      <x:c r="I95" s="27"/>
      <x:c r="J95" s="27"/>
      <x:c r="K95" s="27"/>
      <x:c r="L95" s="27"/>
      <x:c r="M95" s="10"/>
    </x:row>
    <x:row r="96" ht="45" customHeight="1">
      <x:c r="A96" s="10"/>
      <x:c r="B96" s="10"/>
      <x:c r="C96" s="45"/>
      <x:c r="D96" s="10"/>
      <x:c r="E96" s="10"/>
      <x:c r="F96" s="27"/>
      <x:c r="G96" s="27"/>
      <x:c r="H96" s="27"/>
      <x:c r="I96" s="27"/>
      <x:c r="J96" s="27"/>
      <x:c r="K96" s="27"/>
      <x:c r="L96" s="27"/>
      <x:c r="M96" s="10"/>
    </x:row>
    <x:row r="97" ht="45" customHeight="1">
      <x:c r="A97" s="10"/>
      <x:c r="B97" s="10"/>
      <x:c r="C97" s="45"/>
      <x:c r="D97" s="10"/>
      <x:c r="E97" s="10"/>
      <x:c r="F97" s="27"/>
      <x:c r="G97" s="27"/>
      <x:c r="H97" s="27"/>
      <x:c r="I97" s="27"/>
      <x:c r="J97" s="27"/>
      <x:c r="K97" s="27"/>
      <x:c r="L97" s="27"/>
      <x:c r="M97" s="10"/>
    </x:row>
    <x:row r="98" ht="45" customHeight="1">
      <x:c r="A98" s="10"/>
      <x:c r="B98" s="10"/>
      <x:c r="C98" s="45"/>
      <x:c r="D98" s="10"/>
      <x:c r="E98" s="10"/>
      <x:c r="F98" s="27"/>
      <x:c r="G98" s="27"/>
      <x:c r="H98" s="27"/>
      <x:c r="I98" s="27"/>
      <x:c r="J98" s="27"/>
      <x:c r="K98" s="27"/>
      <x:c r="L98" s="27"/>
      <x:c r="M98" s="10"/>
    </x:row>
    <x:row r="99" ht="45" customHeight="1">
      <x:c r="A99" s="10"/>
      <x:c r="B99" s="10"/>
      <x:c r="C99" s="45"/>
      <x:c r="D99" s="10"/>
      <x:c r="E99" s="10"/>
      <x:c r="F99" s="27"/>
      <x:c r="G99" s="27"/>
      <x:c r="H99" s="27"/>
      <x:c r="I99" s="27"/>
      <x:c r="J99" s="27"/>
      <x:c r="K99" s="27"/>
      <x:c r="L99" s="27"/>
      <x:c r="M99" s="10"/>
    </x:row>
    <x:row r="100" ht="45" customHeight="1">
      <x:c r="A100" s="10"/>
      <x:c r="B100" s="10"/>
      <x:c r="C100" s="45"/>
      <x:c r="D100" s="10"/>
      <x:c r="E100" s="10"/>
      <x:c r="F100" s="27"/>
      <x:c r="G100" s="27"/>
      <x:c r="H100" s="27"/>
      <x:c r="I100" s="27"/>
      <x:c r="J100" s="27"/>
      <x:c r="K100" s="27"/>
      <x:c r="L100" s="27"/>
      <x:c r="M100" s="10"/>
    </x:row>
    <x:row r="101" ht="45" customHeight="1">
      <x:c r="A101" s="10"/>
      <x:c r="B101" s="10"/>
      <x:c r="C101" s="45"/>
      <x:c r="D101" s="10"/>
      <x:c r="E101" s="10"/>
      <x:c r="F101" s="27"/>
      <x:c r="G101" s="27"/>
      <x:c r="H101" s="27"/>
      <x:c r="I101" s="27"/>
      <x:c r="J101" s="27"/>
      <x:c r="K101" s="27"/>
      <x:c r="L101" s="27"/>
      <x:c r="M101" s="10"/>
    </x:row>
    <x:row r="102" ht="45" customHeight="1">
      <x:c r="A102" s="10"/>
      <x:c r="B102" s="10"/>
      <x:c r="C102" s="45"/>
      <x:c r="D102" s="10"/>
      <x:c r="E102" s="10"/>
      <x:c r="F102" s="27"/>
      <x:c r="G102" s="27"/>
      <x:c r="H102" s="27"/>
      <x:c r="I102" s="27"/>
      <x:c r="J102" s="27"/>
      <x:c r="K102" s="27"/>
      <x:c r="L102" s="27"/>
      <x:c r="M102" s="10"/>
    </x:row>
    <x:row r="103" ht="45" customHeight="1">
      <x:c r="A103" s="10"/>
      <x:c r="B103" s="10"/>
      <x:c r="C103" s="45"/>
      <x:c r="D103" s="10"/>
      <x:c r="E103" s="10"/>
      <x:c r="F103" s="27"/>
      <x:c r="G103" s="27"/>
      <x:c r="H103" s="27"/>
      <x:c r="I103" s="27"/>
      <x:c r="J103" s="27"/>
      <x:c r="K103" s="27"/>
      <x:c r="L103" s="27"/>
      <x:c r="M103" s="10"/>
    </x:row>
    <x:row r="104" ht="45" customHeight="1">
      <x:c r="A104" s="10"/>
      <x:c r="B104" s="10"/>
      <x:c r="C104" s="45"/>
      <x:c r="D104" s="10"/>
      <x:c r="E104" s="10"/>
      <x:c r="F104" s="27"/>
      <x:c r="G104" s="27"/>
      <x:c r="H104" s="27"/>
      <x:c r="I104" s="27"/>
      <x:c r="J104" s="27"/>
      <x:c r="K104" s="27"/>
      <x:c r="L104" s="27"/>
      <x:c r="M104" s="10"/>
    </x:row>
    <x:row r="105" ht="45" customHeight="1">
      <x:c r="A105" s="10"/>
      <x:c r="B105" s="10"/>
      <x:c r="C105" s="45"/>
      <x:c r="D105" s="10"/>
      <x:c r="E105" s="10"/>
      <x:c r="F105" s="27"/>
      <x:c r="G105" s="27"/>
      <x:c r="H105" s="27"/>
      <x:c r="I105" s="27"/>
      <x:c r="J105" s="27"/>
      <x:c r="K105" s="27"/>
      <x:c r="L105" s="27"/>
      <x:c r="M105" s="10"/>
    </x:row>
    <x:row r="106" ht="45" customHeight="1">
      <x:c r="A106" s="10"/>
      <x:c r="B106" s="10"/>
      <x:c r="C106" s="45"/>
      <x:c r="D106" s="10"/>
      <x:c r="E106" s="10"/>
      <x:c r="F106" s="27"/>
      <x:c r="G106" s="27"/>
      <x:c r="H106" s="27"/>
      <x:c r="I106" s="27"/>
      <x:c r="J106" s="27"/>
      <x:c r="K106" s="27"/>
      <x:c r="L106" s="27"/>
      <x:c r="M106" s="10"/>
    </x:row>
    <x:row r="107" ht="45" customHeight="1">
      <x:c r="A107" s="10"/>
      <x:c r="B107" s="10"/>
      <x:c r="C107" s="45"/>
      <x:c r="D107" s="10"/>
      <x:c r="E107" s="10"/>
      <x:c r="F107" s="27"/>
      <x:c r="G107" s="27"/>
      <x:c r="H107" s="27"/>
      <x:c r="I107" s="27"/>
      <x:c r="J107" s="27"/>
      <x:c r="K107" s="27"/>
      <x:c r="L107" s="27"/>
      <x:c r="M107" s="10"/>
    </x:row>
    <x:row r="108" ht="45" customHeight="1">
      <x:c r="A108" s="10"/>
      <x:c r="B108" s="10"/>
      <x:c r="C108" s="45"/>
      <x:c r="D108" s="10"/>
      <x:c r="E108" s="10"/>
      <x:c r="F108" s="27"/>
      <x:c r="G108" s="27"/>
      <x:c r="H108" s="27"/>
      <x:c r="I108" s="27"/>
      <x:c r="J108" s="27"/>
      <x:c r="K108" s="27"/>
      <x:c r="L108" s="27"/>
      <x:c r="M108" s="10"/>
    </x:row>
    <x:row r="109" ht="45" customHeight="1">
      <x:c r="A109" s="10"/>
      <x:c r="B109" s="10"/>
      <x:c r="C109" s="45"/>
      <x:c r="D109" s="10"/>
      <x:c r="E109" s="10"/>
      <x:c r="F109" s="27"/>
      <x:c r="G109" s="27"/>
      <x:c r="H109" s="27"/>
      <x:c r="I109" s="27"/>
      <x:c r="J109" s="27"/>
      <x:c r="K109" s="27"/>
      <x:c r="L109" s="27"/>
      <x:c r="M109" s="10"/>
    </x:row>
    <x:row r="110" ht="45" customHeight="1">
      <x:c r="A110" s="10"/>
      <x:c r="B110" s="10"/>
      <x:c r="C110" s="45"/>
      <x:c r="D110" s="10"/>
      <x:c r="E110" s="10"/>
      <x:c r="F110" s="27"/>
      <x:c r="G110" s="27"/>
      <x:c r="H110" s="27"/>
      <x:c r="I110" s="27"/>
      <x:c r="J110" s="27"/>
      <x:c r="K110" s="27"/>
      <x:c r="L110" s="27"/>
      <x:c r="M110" s="10"/>
    </x:row>
    <x:row r="111" ht="45" customHeight="1">
      <x:c r="A111" s="10"/>
      <x:c r="B111" s="10"/>
      <x:c r="C111" s="45"/>
      <x:c r="D111" s="10"/>
      <x:c r="E111" s="10"/>
      <x:c r="F111" s="27"/>
      <x:c r="G111" s="27"/>
      <x:c r="H111" s="27"/>
      <x:c r="I111" s="27"/>
      <x:c r="J111" s="27"/>
      <x:c r="K111" s="27"/>
      <x:c r="L111" s="27"/>
      <x:c r="M111" s="10"/>
    </x:row>
    <x:row r="112" ht="45" customHeight="1">
      <x:c r="A112" s="10"/>
      <x:c r="B112" s="10"/>
      <x:c r="C112" s="45"/>
      <x:c r="D112" s="10"/>
      <x:c r="E112" s="10"/>
      <x:c r="F112" s="27"/>
      <x:c r="G112" s="27"/>
      <x:c r="H112" s="27"/>
      <x:c r="I112" s="27"/>
      <x:c r="J112" s="27"/>
      <x:c r="K112" s="27"/>
      <x:c r="L112" s="27"/>
      <x:c r="M112" s="10"/>
    </x:row>
    <x:row r="113" ht="45" customHeight="1">
      <x:c r="A113" s="10"/>
      <x:c r="B113" s="10"/>
      <x:c r="C113" s="45"/>
      <x:c r="D113" s="10"/>
      <x:c r="E113" s="10"/>
      <x:c r="F113" s="27"/>
      <x:c r="G113" s="27"/>
      <x:c r="H113" s="27"/>
      <x:c r="I113" s="27"/>
      <x:c r="J113" s="27"/>
      <x:c r="K113" s="27"/>
      <x:c r="L113" s="27"/>
      <x:c r="M113" s="10"/>
    </x:row>
    <x:row r="114" ht="45" customHeight="1">
      <x:c r="A114" s="10"/>
      <x:c r="B114" s="10"/>
      <x:c r="C114" s="45"/>
      <x:c r="D114" s="10"/>
      <x:c r="E114" s="10"/>
      <x:c r="F114" s="27"/>
      <x:c r="G114" s="27"/>
      <x:c r="H114" s="27"/>
      <x:c r="I114" s="27"/>
      <x:c r="J114" s="27"/>
      <x:c r="K114" s="27"/>
      <x:c r="L114" s="27"/>
      <x:c r="M114" s="10"/>
    </x:row>
    <x:row r="115" ht="45" customHeight="1">
      <x:c r="A115" s="10"/>
      <x:c r="B115" s="10"/>
      <x:c r="C115" s="45"/>
      <x:c r="D115" s="10"/>
      <x:c r="E115" s="10"/>
      <x:c r="F115" s="27"/>
      <x:c r="G115" s="27"/>
      <x:c r="H115" s="27"/>
      <x:c r="I115" s="27"/>
      <x:c r="J115" s="27"/>
      <x:c r="K115" s="27"/>
      <x:c r="L115" s="27"/>
      <x:c r="M115" s="10"/>
    </x:row>
    <x:row r="116" ht="45" customHeight="1">
      <x:c r="A116" s="10"/>
      <x:c r="B116" s="10"/>
      <x:c r="C116" s="45"/>
      <x:c r="D116" s="10"/>
      <x:c r="E116" s="10"/>
      <x:c r="F116" s="27"/>
      <x:c r="G116" s="27"/>
      <x:c r="H116" s="27"/>
      <x:c r="I116" s="27"/>
      <x:c r="J116" s="27"/>
      <x:c r="K116" s="27"/>
      <x:c r="L116" s="27"/>
      <x:c r="M116" s="10"/>
    </x:row>
    <x:row r="117" ht="45" customHeight="1">
      <x:c r="A117" s="10"/>
      <x:c r="B117" s="10"/>
      <x:c r="C117" s="45"/>
      <x:c r="D117" s="10"/>
      <x:c r="E117" s="10"/>
      <x:c r="F117" s="27"/>
      <x:c r="G117" s="27"/>
      <x:c r="H117" s="27"/>
      <x:c r="I117" s="27"/>
      <x:c r="J117" s="27"/>
      <x:c r="K117" s="27"/>
      <x:c r="L117" s="27"/>
      <x:c r="M117" s="10"/>
    </x:row>
    <x:row r="118" ht="45" customHeight="1">
      <x:c r="A118" s="10"/>
      <x:c r="B118" s="10"/>
      <x:c r="C118" s="45"/>
      <x:c r="D118" s="10"/>
      <x:c r="E118" s="10"/>
      <x:c r="F118" s="27"/>
      <x:c r="G118" s="27"/>
      <x:c r="H118" s="27"/>
      <x:c r="I118" s="27"/>
      <x:c r="J118" s="27"/>
      <x:c r="K118" s="27"/>
      <x:c r="L118" s="27"/>
      <x:c r="M118" s="10"/>
    </x:row>
    <x:row r="119" ht="45" customHeight="1">
      <x:c r="A119" s="10"/>
      <x:c r="B119" s="10"/>
      <x:c r="C119" s="45"/>
      <x:c r="D119" s="10"/>
      <x:c r="E119" s="10"/>
      <x:c r="F119" s="27"/>
      <x:c r="G119" s="27"/>
      <x:c r="H119" s="27"/>
      <x:c r="I119" s="27"/>
      <x:c r="J119" s="27"/>
      <x:c r="K119" s="27"/>
      <x:c r="L119" s="27"/>
      <x:c r="M119" s="10"/>
    </x:row>
    <x:row r="120" ht="45" customHeight="1">
      <x:c r="A120" s="10"/>
      <x:c r="B120" s="10"/>
      <x:c r="C120" s="45"/>
      <x:c r="D120" s="10"/>
      <x:c r="E120" s="10"/>
      <x:c r="F120" s="27"/>
      <x:c r="G120" s="27"/>
      <x:c r="H120" s="27"/>
      <x:c r="I120" s="27"/>
      <x:c r="J120" s="27"/>
      <x:c r="K120" s="27"/>
      <x:c r="L120" s="27"/>
      <x:c r="M120" s="10"/>
    </x:row>
    <x:row r="121" ht="45" customHeight="1">
      <x:c r="A121" s="10"/>
      <x:c r="B121" s="10"/>
      <x:c r="C121" s="45"/>
      <x:c r="D121" s="10"/>
      <x:c r="E121" s="10"/>
      <x:c r="F121" s="27"/>
      <x:c r="G121" s="27"/>
      <x:c r="H121" s="27"/>
      <x:c r="I121" s="27"/>
      <x:c r="J121" s="27"/>
      <x:c r="K121" s="27"/>
      <x:c r="L121" s="27"/>
      <x:c r="M121" s="10"/>
    </x:row>
    <x:row r="122" ht="45" customHeight="1">
      <x:c r="A122" s="10"/>
      <x:c r="B122" s="10"/>
      <x:c r="C122" s="45"/>
      <x:c r="D122" s="10"/>
      <x:c r="E122" s="10"/>
      <x:c r="F122" s="27"/>
      <x:c r="G122" s="27"/>
      <x:c r="H122" s="27"/>
      <x:c r="I122" s="27"/>
      <x:c r="J122" s="27"/>
      <x:c r="K122" s="27"/>
      <x:c r="L122" s="27"/>
      <x:c r="M122" s="10"/>
    </x:row>
    <x:row r="123" ht="45" customHeight="1">
      <x:c r="A123" s="10"/>
      <x:c r="B123" s="10"/>
      <x:c r="C123" s="45"/>
      <x:c r="D123" s="10"/>
      <x:c r="E123" s="10"/>
      <x:c r="F123" s="27"/>
      <x:c r="G123" s="27"/>
      <x:c r="H123" s="27"/>
      <x:c r="I123" s="27"/>
      <x:c r="J123" s="27"/>
      <x:c r="K123" s="27"/>
      <x:c r="L123" s="27"/>
      <x:c r="M123" s="10"/>
    </x:row>
    <x:row r="124" ht="45" customHeight="1">
      <x:c r="A124" s="10"/>
      <x:c r="B124" s="10"/>
      <x:c r="C124" s="45"/>
      <x:c r="D124" s="10"/>
      <x:c r="E124" s="10"/>
      <x:c r="F124" s="27"/>
      <x:c r="G124" s="27"/>
      <x:c r="H124" s="27"/>
      <x:c r="I124" s="27"/>
      <x:c r="J124" s="27"/>
      <x:c r="K124" s="27"/>
      <x:c r="L124" s="27"/>
      <x:c r="M124" s="10"/>
    </x:row>
    <x:row r="125" ht="45" customHeight="1">
      <x:c r="A125" s="10"/>
      <x:c r="B125" s="10"/>
      <x:c r="C125" s="45"/>
      <x:c r="D125" s="10"/>
      <x:c r="E125" s="10"/>
      <x:c r="F125" s="27"/>
      <x:c r="G125" s="27"/>
      <x:c r="H125" s="27"/>
      <x:c r="I125" s="27"/>
      <x:c r="J125" s="27"/>
      <x:c r="K125" s="27"/>
      <x:c r="L125" s="27"/>
      <x:c r="M125" s="10"/>
    </x:row>
    <x:row r="126" ht="45" customHeight="1">
      <x:c r="A126" s="10"/>
      <x:c r="B126" s="10"/>
      <x:c r="C126" s="45"/>
      <x:c r="D126" s="10"/>
      <x:c r="E126" s="10"/>
      <x:c r="F126" s="27"/>
      <x:c r="G126" s="27"/>
      <x:c r="H126" s="27"/>
      <x:c r="I126" s="27"/>
      <x:c r="J126" s="27"/>
      <x:c r="K126" s="27"/>
      <x:c r="L126" s="27"/>
      <x:c r="M126" s="10"/>
    </x:row>
    <x:row r="127" ht="45" customHeight="1">
      <x:c r="A127" s="10"/>
      <x:c r="B127" s="10"/>
      <x:c r="C127" s="45"/>
      <x:c r="D127" s="10"/>
      <x:c r="E127" s="10"/>
      <x:c r="F127" s="27"/>
      <x:c r="G127" s="27"/>
      <x:c r="H127" s="27"/>
      <x:c r="I127" s="27"/>
      <x:c r="J127" s="27"/>
      <x:c r="K127" s="27"/>
      <x:c r="L127" s="27"/>
      <x:c r="M127" s="10"/>
    </x:row>
    <x:row r="128" ht="45" customHeight="1">
      <x:c r="A128" s="10"/>
      <x:c r="B128" s="10"/>
      <x:c r="C128" s="45"/>
      <x:c r="D128" s="10"/>
      <x:c r="E128" s="10"/>
      <x:c r="F128" s="27"/>
      <x:c r="G128" s="27"/>
      <x:c r="H128" s="27"/>
      <x:c r="I128" s="27"/>
      <x:c r="J128" s="27"/>
      <x:c r="K128" s="27"/>
      <x:c r="L128" s="27"/>
      <x:c r="M128" s="10"/>
    </x:row>
    <x:row r="129" ht="45" customHeight="1">
      <x:c r="A129" s="10"/>
      <x:c r="B129" s="10"/>
      <x:c r="C129" s="45"/>
      <x:c r="D129" s="10"/>
      <x:c r="E129" s="10"/>
      <x:c r="F129" s="27"/>
      <x:c r="G129" s="27"/>
      <x:c r="H129" s="27"/>
      <x:c r="I129" s="27"/>
      <x:c r="J129" s="27"/>
      <x:c r="K129" s="27"/>
      <x:c r="L129" s="27"/>
      <x:c r="M129" s="10"/>
    </x:row>
    <x:row r="130" ht="45" customHeight="1">
      <x:c r="A130" s="10"/>
      <x:c r="B130" s="10"/>
      <x:c r="C130" s="45"/>
      <x:c r="D130" s="10"/>
      <x:c r="E130" s="10"/>
      <x:c r="F130" s="27"/>
      <x:c r="G130" s="27"/>
      <x:c r="H130" s="27"/>
      <x:c r="I130" s="27"/>
      <x:c r="J130" s="27"/>
      <x:c r="K130" s="27"/>
      <x:c r="L130" s="27"/>
      <x:c r="M130" s="10"/>
    </x:row>
    <x:row r="131" ht="45" customHeight="1">
      <x:c r="A131" s="10"/>
      <x:c r="B131" s="10"/>
      <x:c r="C131" s="45"/>
      <x:c r="D131" s="10"/>
      <x:c r="E131" s="10"/>
      <x:c r="F131" s="27"/>
      <x:c r="G131" s="27"/>
      <x:c r="H131" s="27"/>
      <x:c r="I131" s="27"/>
      <x:c r="J131" s="27"/>
      <x:c r="K131" s="27"/>
      <x:c r="L131" s="27"/>
      <x:c r="M131" s="10"/>
    </x:row>
    <x:row r="132" ht="45" customHeight="1">
      <x:c r="A132" s="10"/>
      <x:c r="B132" s="10"/>
      <x:c r="C132" s="45"/>
      <x:c r="D132" s="10"/>
      <x:c r="E132" s="10"/>
      <x:c r="F132" s="27"/>
      <x:c r="G132" s="27"/>
      <x:c r="H132" s="27"/>
      <x:c r="I132" s="27"/>
      <x:c r="J132" s="27"/>
      <x:c r="K132" s="27"/>
      <x:c r="L132" s="27"/>
      <x:c r="M132" s="10"/>
    </x:row>
    <x:row r="133" ht="45" customHeight="1">
      <x:c r="A133" s="10"/>
      <x:c r="B133" s="10"/>
      <x:c r="C133" s="45"/>
      <x:c r="D133" s="10"/>
      <x:c r="E133" s="10"/>
      <x:c r="F133" s="27"/>
      <x:c r="G133" s="27"/>
      <x:c r="H133" s="27"/>
      <x:c r="I133" s="27"/>
      <x:c r="J133" s="27"/>
      <x:c r="K133" s="27"/>
      <x:c r="L133" s="27"/>
      <x:c r="M133" s="10"/>
    </x:row>
    <x:row r="134" ht="45" customHeight="1">
      <x:c r="A134" s="10"/>
      <x:c r="B134" s="10"/>
      <x:c r="C134" s="45"/>
      <x:c r="D134" s="10"/>
      <x:c r="E134" s="10"/>
      <x:c r="F134" s="27"/>
      <x:c r="G134" s="27"/>
      <x:c r="H134" s="27"/>
      <x:c r="I134" s="27"/>
      <x:c r="J134" s="27"/>
      <x:c r="K134" s="27"/>
      <x:c r="L134" s="27"/>
      <x:c r="M134" s="10"/>
    </x:row>
    <x:row r="135" ht="45" customHeight="1">
      <x:c r="A135" s="10"/>
      <x:c r="B135" s="10"/>
      <x:c r="C135" s="45"/>
      <x:c r="D135" s="10"/>
      <x:c r="E135" s="10"/>
      <x:c r="F135" s="27"/>
      <x:c r="G135" s="27"/>
      <x:c r="H135" s="27"/>
      <x:c r="I135" s="27"/>
      <x:c r="J135" s="27"/>
      <x:c r="K135" s="27"/>
      <x:c r="L135" s="27"/>
      <x:c r="M135" s="10"/>
    </x:row>
    <x:row r="136" ht="45" customHeight="1">
      <x:c r="A136" s="10"/>
      <x:c r="B136" s="10"/>
      <x:c r="C136" s="45"/>
      <x:c r="D136" s="10"/>
      <x:c r="E136" s="10"/>
      <x:c r="F136" s="27"/>
      <x:c r="G136" s="27"/>
      <x:c r="H136" s="27"/>
      <x:c r="I136" s="27"/>
      <x:c r="J136" s="27"/>
      <x:c r="K136" s="27"/>
      <x:c r="L136" s="27"/>
      <x:c r="M136" s="10"/>
    </x:row>
    <x:row r="137" ht="45" customHeight="1">
      <x:c r="A137" s="10"/>
      <x:c r="B137" s="10"/>
      <x:c r="C137" s="45"/>
      <x:c r="D137" s="10"/>
      <x:c r="E137" s="10"/>
      <x:c r="F137" s="27"/>
      <x:c r="G137" s="27"/>
      <x:c r="H137" s="27"/>
      <x:c r="I137" s="27"/>
      <x:c r="J137" s="27"/>
      <x:c r="K137" s="27"/>
      <x:c r="L137" s="27"/>
      <x:c r="M137" s="10"/>
    </x:row>
    <x:row r="138" ht="45" customHeight="1">
      <x:c r="A138" s="10"/>
      <x:c r="B138" s="10"/>
      <x:c r="C138" s="45"/>
      <x:c r="D138" s="10"/>
      <x:c r="E138" s="10"/>
      <x:c r="F138" s="27"/>
      <x:c r="G138" s="27"/>
      <x:c r="H138" s="27"/>
      <x:c r="I138" s="27"/>
      <x:c r="J138" s="27"/>
      <x:c r="K138" s="27"/>
      <x:c r="L138" s="27"/>
      <x:c r="M138" s="10"/>
    </x:row>
    <x:row r="139" ht="45" customHeight="1">
      <x:c r="A139" s="10"/>
      <x:c r="B139" s="10"/>
      <x:c r="C139" s="45"/>
      <x:c r="D139" s="10"/>
      <x:c r="E139" s="10"/>
      <x:c r="F139" s="27"/>
      <x:c r="G139" s="27"/>
      <x:c r="H139" s="27"/>
      <x:c r="I139" s="27"/>
      <x:c r="J139" s="27"/>
      <x:c r="K139" s="27"/>
      <x:c r="L139" s="27"/>
      <x:c r="M139" s="10"/>
    </x:row>
    <x:row r="140" ht="45" customHeight="1">
      <x:c r="A140" s="10"/>
      <x:c r="B140" s="10"/>
      <x:c r="C140" s="45"/>
      <x:c r="D140" s="10"/>
      <x:c r="E140" s="10"/>
      <x:c r="F140" s="27"/>
      <x:c r="G140" s="27"/>
      <x:c r="H140" s="27"/>
      <x:c r="I140" s="27"/>
      <x:c r="J140" s="27"/>
      <x:c r="K140" s="27"/>
      <x:c r="L140" s="27"/>
      <x:c r="M140" s="10"/>
    </x:row>
    <x:row r="141" ht="45" customHeight="1">
      <x:c r="A141" s="10"/>
      <x:c r="B141" s="10"/>
      <x:c r="C141" s="45"/>
      <x:c r="D141" s="10"/>
      <x:c r="E141" s="10"/>
      <x:c r="F141" s="27"/>
      <x:c r="G141" s="27"/>
      <x:c r="H141" s="27"/>
      <x:c r="I141" s="27"/>
      <x:c r="J141" s="27"/>
      <x:c r="K141" s="27"/>
      <x:c r="L141" s="27"/>
      <x:c r="M141" s="10"/>
    </x:row>
    <x:row r="142" ht="45" customHeight="1">
      <x:c r="A142" s="10"/>
      <x:c r="B142" s="10"/>
      <x:c r="C142" s="45"/>
      <x:c r="D142" s="10"/>
      <x:c r="E142" s="10"/>
      <x:c r="F142" s="27"/>
      <x:c r="G142" s="27"/>
      <x:c r="H142" s="27"/>
      <x:c r="I142" s="27"/>
      <x:c r="J142" s="27"/>
      <x:c r="K142" s="27"/>
      <x:c r="L142" s="27"/>
      <x:c r="M142" s="10"/>
    </x:row>
    <x:row r="143" ht="45" customHeight="1">
      <x:c r="A143" s="10"/>
      <x:c r="B143" s="10"/>
      <x:c r="C143" s="45"/>
      <x:c r="D143" s="10"/>
      <x:c r="E143" s="10"/>
      <x:c r="F143" s="27"/>
      <x:c r="G143" s="27"/>
      <x:c r="H143" s="27"/>
      <x:c r="I143" s="27"/>
      <x:c r="J143" s="27"/>
      <x:c r="K143" s="27"/>
      <x:c r="L143" s="27"/>
      <x:c r="M143" s="10"/>
    </x:row>
    <x:row r="144" ht="45" customHeight="1">
      <x:c r="A144" s="10"/>
      <x:c r="B144" s="10"/>
      <x:c r="C144" s="45"/>
      <x:c r="D144" s="10"/>
      <x:c r="E144" s="10"/>
      <x:c r="F144" s="27"/>
      <x:c r="G144" s="27"/>
      <x:c r="H144" s="27"/>
      <x:c r="I144" s="27"/>
      <x:c r="J144" s="27"/>
      <x:c r="K144" s="27"/>
      <x:c r="L144" s="27"/>
      <x:c r="M144" s="10"/>
    </x:row>
    <x:row r="145" ht="45" customHeight="1">
      <x:c r="A145" s="10"/>
      <x:c r="B145" s="10"/>
      <x:c r="C145" s="45"/>
      <x:c r="D145" s="10"/>
      <x:c r="E145" s="10"/>
      <x:c r="F145" s="27"/>
      <x:c r="G145" s="27"/>
      <x:c r="H145" s="27"/>
      <x:c r="I145" s="27"/>
      <x:c r="J145" s="27"/>
      <x:c r="K145" s="27"/>
      <x:c r="L145" s="27"/>
      <x:c r="M145" s="10"/>
    </x:row>
    <x:row r="146" ht="45" customHeight="1">
      <x:c r="A146" s="10"/>
      <x:c r="B146" s="10"/>
      <x:c r="C146" s="45"/>
      <x:c r="D146" s="10"/>
      <x:c r="E146" s="10"/>
      <x:c r="F146" s="27"/>
      <x:c r="G146" s="27"/>
      <x:c r="H146" s="27"/>
      <x:c r="I146" s="27"/>
      <x:c r="J146" s="27"/>
      <x:c r="K146" s="27"/>
      <x:c r="L146" s="27"/>
      <x:c r="M146" s="10"/>
    </x:row>
    <x:row r="147" ht="45" customHeight="1">
      <x:c r="A147" s="10"/>
      <x:c r="B147" s="10"/>
      <x:c r="C147" s="45"/>
      <x:c r="D147" s="10"/>
      <x:c r="E147" s="10"/>
      <x:c r="F147" s="27"/>
      <x:c r="G147" s="27"/>
      <x:c r="H147" s="27"/>
      <x:c r="I147" s="27"/>
      <x:c r="J147" s="27"/>
      <x:c r="K147" s="27"/>
      <x:c r="L147" s="27"/>
      <x:c r="M147" s="10"/>
    </x:row>
    <x:row r="148" ht="45" customHeight="1">
      <x:c r="A148" s="10"/>
      <x:c r="B148" s="10"/>
      <x:c r="C148" s="45"/>
      <x:c r="D148" s="10"/>
      <x:c r="E148" s="10"/>
      <x:c r="F148" s="27"/>
      <x:c r="G148" s="27"/>
      <x:c r="H148" s="27"/>
      <x:c r="I148" s="27"/>
      <x:c r="J148" s="27"/>
      <x:c r="K148" s="27"/>
      <x:c r="L148" s="27"/>
      <x:c r="M148" s="10"/>
    </x:row>
    <x:row r="149" ht="45" customHeight="1">
      <x:c r="A149" s="10"/>
      <x:c r="B149" s="10"/>
      <x:c r="C149" s="45"/>
      <x:c r="D149" s="10"/>
      <x:c r="E149" s="10"/>
      <x:c r="F149" s="27"/>
      <x:c r="G149" s="27"/>
      <x:c r="H149" s="27"/>
      <x:c r="I149" s="27"/>
      <x:c r="J149" s="27"/>
      <x:c r="K149" s="27"/>
      <x:c r="L149" s="27"/>
      <x:c r="M149" s="10"/>
    </x:row>
    <x:row r="150" ht="45" customHeight="1">
      <x:c r="A150" s="10"/>
      <x:c r="B150" s="10"/>
      <x:c r="C150" s="45"/>
      <x:c r="D150" s="10"/>
      <x:c r="E150" s="10"/>
      <x:c r="F150" s="27"/>
      <x:c r="G150" s="27"/>
      <x:c r="H150" s="27"/>
      <x:c r="I150" s="27"/>
      <x:c r="J150" s="27"/>
      <x:c r="K150" s="27"/>
      <x:c r="L150" s="27"/>
      <x:c r="M150" s="10"/>
    </x:row>
    <x:row r="151" ht="45" customHeight="1">
      <x:c r="A151" s="10"/>
      <x:c r="B151" s="10"/>
      <x:c r="C151" s="45"/>
      <x:c r="D151" s="10"/>
      <x:c r="E151" s="10"/>
      <x:c r="F151" s="27"/>
      <x:c r="G151" s="27"/>
      <x:c r="H151" s="27"/>
      <x:c r="I151" s="27"/>
      <x:c r="J151" s="27"/>
      <x:c r="K151" s="27"/>
      <x:c r="L151" s="27"/>
      <x:c r="M151" s="10"/>
    </x:row>
    <x:row r="152" ht="45" customHeight="1">
      <x:c r="A152" s="10"/>
      <x:c r="B152" s="10"/>
      <x:c r="C152" s="45"/>
      <x:c r="D152" s="10"/>
      <x:c r="E152" s="10"/>
      <x:c r="F152" s="27"/>
      <x:c r="G152" s="27"/>
      <x:c r="H152" s="27"/>
      <x:c r="I152" s="27"/>
      <x:c r="J152" s="27"/>
      <x:c r="K152" s="27"/>
      <x:c r="L152" s="27"/>
      <x:c r="M152" s="10"/>
    </x:row>
    <x:row r="153" ht="45" customHeight="1">
      <x:c r="A153" s="10"/>
      <x:c r="B153" s="10"/>
      <x:c r="C153" s="45"/>
      <x:c r="D153" s="10"/>
      <x:c r="E153" s="10"/>
      <x:c r="F153" s="27"/>
      <x:c r="G153" s="27"/>
      <x:c r="H153" s="27"/>
      <x:c r="I153" s="27"/>
      <x:c r="J153" s="27"/>
      <x:c r="K153" s="27"/>
      <x:c r="L153" s="27"/>
      <x:c r="M153" s="10"/>
    </x:row>
    <x:row r="154" ht="45" customHeight="1">
      <x:c r="A154" s="10"/>
      <x:c r="B154" s="10"/>
      <x:c r="C154" s="45"/>
      <x:c r="D154" s="10"/>
      <x:c r="E154" s="10"/>
      <x:c r="F154" s="27"/>
      <x:c r="G154" s="27"/>
      <x:c r="H154" s="27"/>
      <x:c r="I154" s="27"/>
      <x:c r="J154" s="27"/>
      <x:c r="K154" s="27"/>
      <x:c r="L154" s="27"/>
      <x:c r="M154" s="10"/>
    </x:row>
    <x:row r="155" ht="45" customHeight="1">
      <x:c r="A155" s="10"/>
      <x:c r="B155" s="10"/>
      <x:c r="C155" s="45"/>
      <x:c r="D155" s="10"/>
      <x:c r="E155" s="10"/>
      <x:c r="F155" s="27"/>
      <x:c r="G155" s="27"/>
      <x:c r="H155" s="27"/>
      <x:c r="I155" s="27"/>
      <x:c r="J155" s="27"/>
      <x:c r="K155" s="27"/>
      <x:c r="L155" s="27"/>
      <x:c r="M155" s="10"/>
    </x:row>
    <x:row r="156" ht="45" customHeight="1">
      <x:c r="A156" s="11"/>
      <x:c r="B156" s="11"/>
      <x:c r="C156" s="46"/>
      <x:c r="D156" s="11"/>
      <x:c r="E156" s="11"/>
      <x:c r="F156" s="28"/>
      <x:c r="G156" s="28"/>
      <x:c r="H156" s="28"/>
      <x:c r="I156" s="28"/>
      <x:c r="J156" s="28"/>
      <x:c r="K156" s="28"/>
      <x:c r="L156" s="28"/>
      <x:c r="M156" s="11"/>
    </x:row>
  </x:sheetData>
  <x:dataValidations count="4">
    <x:dataValidation type="list" sqref="B7:B156">
      <x:formula1>INDIRECT("'运行记录'!$A$7:$A$150")</x:formula1>
    </x:dataValidation>
    <x:dataValidation type="list" sqref="D7:D156">
      <x:formula1>"需求理解,方案规划,编码,测试,修复,交付,环境"</x:formula1>
    </x:dataValidation>
    <x:dataValidation type="list" sqref="E7:E156">
      <x:formula1>"有效行为,错误实现,上下文遗漏,工具故障,人工提示,人工改码,环境偏差,其他"</x:formula1>
    </x:dataValidation>
    <x:dataValidation type="list" sqref="M7:M156">
      <x:formula1>"待处理,已复验,已关闭"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42a6159bbc4fb5"/>
  </x:tableParts>
</x:worksheet>
</file>

<file path=xl/worksheets/sheet8.xml><?xml version="1.0" encoding="utf-8"?>
<x:worksheet xmlns:x="http://schemas.openxmlformats.org/spreadsheetml/2006/main">
  <x:sheetPr>
    <x:tabColor rgb="FF81909C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3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38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</x:row>
    <x:row r="2" ht="34" customHeight="1">
      <x:c r="A2" s="4" t="str">
        <x:v>评分与填写指南</x:v>
      </x:c>
      <x:c r="B2" s="5"/>
      <x:c r="C2" s="5"/>
      <x:c r="D2" s="5"/>
      <x:c r="E2" s="5"/>
      <x:c r="F2" s="5"/>
      <x:c r="G2" s="5"/>
    </x:row>
    <x:row r="3" ht="25" customHeight="1">
      <x:c r="A3" s="7" t="str">
        <x:v>默认评分与权重供试点前协商；先用同一份样例校准评分人，再冻结规则。</x:v>
      </x:c>
      <x:c r="B3" s="2"/>
      <x:c r="C3" s="2"/>
      <x:c r="D3" s="2"/>
      <x:c r="E3" s="2"/>
      <x:c r="F3" s="2"/>
      <x:c r="G3" s="2"/>
    </x:row>
    <x:row r="4" ht="25" customHeight="1">
      <x:c r="A4" s="2"/>
      <x:c r="B4" s="2"/>
      <x:c r="C4" s="2"/>
      <x:c r="D4" s="2"/>
      <x:c r="E4" s="2"/>
      <x:c r="F4" s="2"/>
      <x:c r="G4" s="2"/>
    </x:row>
    <x:row r="5" ht="25" customHeight="1">
      <x:c r="A5" s="2"/>
      <x:c r="B5" s="2"/>
      <x:c r="C5" s="2"/>
      <x:c r="D5" s="2"/>
      <x:c r="E5" s="2"/>
      <x:c r="F5" s="2"/>
      <x:c r="G5" s="2"/>
    </x:row>
    <x:row r="6" ht="46" customHeight="1">
      <x:c r="A6" s="22" t="str">
        <x:v>能力维度</x:v>
      </x:c>
      <x:c r="B6" s="23" t="str">
        <x:v>1分</x:v>
      </x:c>
      <x:c r="C6" s="23" t="str">
        <x:v>2分</x:v>
      </x:c>
      <x:c r="D6" s="23" t="str">
        <x:v>3分</x:v>
      </x:c>
      <x:c r="E6" s="23" t="str">
        <x:v>4分</x:v>
      </x:c>
      <x:c r="F6" s="23" t="str">
        <x:v>5分</x:v>
      </x:c>
      <x:c r="G6" s="24" t="str">
        <x:v>关键观察证据</x:v>
      </x:c>
    </x:row>
    <x:row r="7" ht="60" customHeight="1">
      <x:c r="A7" s="67" t="str">
        <x:v>需求理解</x:v>
      </x:c>
      <x:c r="B7" s="67" t="str">
        <x:v>反复误解关键目标，形成不可用结果</x:v>
      </x:c>
      <x:c r="C7" s="67" t="str">
        <x:v>需多次解释才能理解主流程，仍漏约束</x:v>
      </x:c>
      <x:c r="D7" s="67" t="str">
        <x:v>理解主流程，经提示补齐主要约束</x:v>
      </x:c>
      <x:c r="E7" s="67" t="str">
        <x:v>主动澄清歧义，覆盖关键边界</x:v>
      </x:c>
      <x:c r="F7" s="67" t="str">
        <x:v>准确拆解需求与隐含约束，明确可验证验收点</x:v>
      </x:c>
      <x:c r="G7" s="67" t="str">
        <x:v>需求复述、追问记录、遗漏与返工事件</x:v>
      </x:c>
    </x:row>
    <x:row r="8" ht="60" customHeight="1">
      <x:c r="A8" s="68" t="str">
        <x:v>仓库上下文</x:v>
      </x:c>
      <x:c r="B8" s="68" t="str">
        <x:v>定位错误，无法利用已有代码</x:v>
      </x:c>
      <x:c r="C8" s="68" t="str">
        <x:v>依赖人工指定文件，多次忽略关联</x:v>
      </x:c>
      <x:c r="D8" s="68" t="str">
        <x:v>找到主要代码，经提示补齐关联</x:v>
      </x:c>
      <x:c r="E8" s="68" t="str">
        <x:v>自主定位跨文件依赖并复用约定</x:v>
      </x:c>
      <x:c r="F8" s="68" t="str">
        <x:v>准确梳理跨模块影响，复用现有实现且无明显遗漏</x:v>
      </x:c>
      <x:c r="G8" s="68" t="str">
        <x:v>检索路径、引用文件、影响面与上下文遗漏</x:v>
      </x:c>
    </x:row>
    <x:row r="9" ht="60" customHeight="1">
      <x:c r="A9" s="68" t="str">
        <x:v>方案与实现</x:v>
      </x:c>
      <x:c r="B9" s="68" t="str">
        <x:v>无法给出可执行方案或主要实现错误</x:v>
      </x:c>
      <x:c r="C9" s="68" t="str">
        <x:v>方案缺关键步骤，大量人工重写</x:v>
      </x:c>
      <x:c r="D9" s="68" t="str">
        <x:v>方案可执行，主流程实现需局部修正</x:v>
      </x:c>
      <x:c r="E9" s="68" t="str">
        <x:v>拆解合理，多文件修改协调，少量调整</x:v>
      </x:c>
      <x:c r="F9" s="68" t="str">
        <x:v>方案与实现贴合约束，边界完整，变更范围准确</x:v>
      </x:c>
      <x:c r="G9" s="68" t="str">
        <x:v>计划、提交差异、验收结果、返工记录</x:v>
      </x:c>
    </x:row>
    <x:row r="10" ht="60" customHeight="1">
      <x:c r="A10" s="68" t="str">
        <x:v>代码可维护性</x:v>
      </x:c>
      <x:c r="B10" s="68" t="str">
        <x:v>引入严重缺陷或破坏既有设计</x:v>
      </x:c>
      <x:c r="C10" s="68" t="str">
        <x:v>重复、硬编码或耦合问题突出</x:v>
      </x:c>
      <x:c r="D10" s="68" t="str">
        <x:v>符合基本规范，仍有可改进点</x:v>
      </x:c>
      <x:c r="E10" s="68" t="str">
        <x:v>职责清晰，命名和异常处理符合项目约定</x:v>
      </x:c>
      <x:c r="F10" s="68" t="str">
        <x:v>实现简洁一致，可维护且审查意见很少</x:v>
      </x:c>
      <x:c r="G10" s="68" t="str">
        <x:v>盲审意见、静态检查、差异与缺陷清单</x:v>
      </x:c>
    </x:row>
    <x:row r="11" ht="60" customHeight="1">
      <x:c r="A11" s="68" t="str">
        <x:v>测试与修复</x:v>
      </x:c>
      <x:c r="B11" s="68" t="str">
        <x:v>不验证或无法处理测试失败</x:v>
      </x:c>
      <x:c r="C11" s="68" t="str">
        <x:v>测试不足，修复依赖人工定位与替换</x:v>
      </x:c>
      <x:c r="D11" s="68" t="str">
        <x:v>覆盖主要流程，经提示补边界或定位问题</x:v>
      </x:c>
      <x:c r="E11" s="68" t="str">
        <x:v>主动验证边界并根据失败定位修复</x:v>
      </x:c>
      <x:c r="F11" s="68" t="str">
        <x:v>测试有效且可复现，回归完整，独立闭环修复</x:v>
      </x:c>
      <x:c r="G11" s="68" t="str">
        <x:v>测试命令、前后报告、缺陷复现与修复轨迹</x:v>
      </x:c>
    </x:row>
    <x:row r="12" ht="60" customHeight="1">
      <x:c r="A12" s="68" t="str">
        <x:v>自主执行</x:v>
      </x:c>
      <x:c r="B12" s="68" t="str">
        <x:v>需要人工接管关键任务</x:v>
      </x:c>
      <x:c r="C12" s="68" t="str">
        <x:v>频繁需要方向性提示或人工改码</x:v>
      </x:c>
      <x:c r="D12" s="68" t="str">
        <x:v>常规步骤自主，复杂环节需要干预</x:v>
      </x:c>
      <x:c r="E12" s="68" t="str">
        <x:v>多数工作自主完成，仅少量有效干预</x:v>
      </x:c>
      <x:c r="F12" s="68" t="str">
        <x:v>目标到交付连续完成，无方向性干预或人工改码</x:v>
      </x:c>
      <x:c r="G12" s="68" t="str">
        <x:v>干预次数、人工分钟、接管点与完成轨迹</x:v>
      </x:c>
    </x:row>
    <x:row r="13" ht="60" customHeight="1">
      <x:c r="A13" s="68" t="str">
        <x:v>交互可控性</x:v>
      </x:c>
      <x:c r="B13" s="68" t="str">
        <x:v>行为难跟踪，难停止或纠偏</x:v>
      </x:c>
      <x:c r="C13" s="68" t="str">
        <x:v>状态含糊，频繁重复指令或恢复会话</x:v>
      </x:c>
      <x:c r="D13" s="68" t="str">
        <x:v>基本可控，能查看进度和调整任务</x:v>
      </x:c>
      <x:c r="E13" s="68" t="str">
        <x:v>进度清楚，确认点合理，恢复与纠偏顺畅</x:v>
      </x:c>
      <x:c r="F13" s="68" t="str">
        <x:v>可及时审查与接管，信息清晰，恢复可靠</x:v>
      </x:c>
      <x:c r="G13" s="68" t="str">
        <x:v>进度展示、确认次数、上下文恢复与撤销体验</x:v>
      </x:c>
    </x:row>
    <x:row r="14" ht="60" customHeight="1">
      <x:c r="A14" s="69" t="str">
        <x:v>工程融入</x:v>
      </x:c>
      <x:c r="B14" s="69" t="str">
        <x:v>无法完成本项目必要工程操作</x:v>
      </x:c>
      <x:c r="C14" s="69" t="str">
        <x:v>需大量手动操作衔接工具链</x:v>
      </x:c>
      <x:c r="D14" s="69" t="str">
        <x:v>能完成构建、测试、版本控制等基本流程</x:v>
      </x:c>
      <x:c r="E14" s="69" t="str">
        <x:v>与项目流程衔接顺畅，仅少量手工补充</x:v>
      </x:c>
      <x:c r="F14" s="69" t="str">
        <x:v>按约定完成工具调用、检查与交付，证据可追溯</x:v>
      </x:c>
      <x:c r="G14" s="69" t="str">
        <x:v>实际命令、构建测试、版本控制与交付物</x:v>
      </x:c>
    </x:row>
    <x:row r="15" ht="25" customHeight="1">
      <x:c r="A15" s="2"/>
      <x:c r="B15" s="2"/>
      <x:c r="C15" s="2"/>
      <x:c r="D15" s="2"/>
      <x:c r="E15" s="2"/>
      <x:c r="F15" s="2"/>
      <x:c r="G15" s="2"/>
    </x:row>
    <x:row r="16" ht="25" customHeight="1">
      <x:c r="A16" s="2"/>
      <x:c r="B16" s="2"/>
      <x:c r="C16" s="2"/>
      <x:c r="D16" s="2"/>
      <x:c r="E16" s="2"/>
      <x:c r="F16" s="2"/>
      <x:c r="G16" s="2"/>
    </x:row>
    <x:row r="17" ht="25" customHeight="1">
      <x:c r="A17" s="29" t="str">
        <x:v>执行规则</x:v>
      </x:c>
      <x:c r="B17" s="2"/>
      <x:c r="C17" s="2"/>
      <x:c r="D17" s="2"/>
      <x:c r="E17" s="2"/>
      <x:c r="F17" s="2"/>
      <x:c r="G17" s="2"/>
    </x:row>
    <x:row r="18" ht="25" customHeight="1">
      <x:c r="A18" s="2"/>
      <x:c r="B18" s="2"/>
      <x:c r="C18" s="2"/>
      <x:c r="D18" s="2"/>
      <x:c r="E18" s="2"/>
      <x:c r="F18" s="2"/>
      <x:c r="G18" s="2"/>
    </x:row>
    <x:row r="19" ht="30" customHeight="1">
      <x:c r="A19" s="2" t="str">
        <x:v>01 冻结范围</x:v>
      </x:c>
      <x:c r="B19" s="70" t="str">
        <x:v>先填写设置与特性清单。保存需求、原始提示词、代码基线、统一验收集及时间预算；正式运行中不修改。</x:v>
      </x:c>
      <x:c r="C19" s="2"/>
      <x:c r="D19" s="2"/>
      <x:c r="E19" s="2"/>
      <x:c r="F19" s="2"/>
      <x:c r="G19" s="2"/>
    </x:row>
    <x:row r="20" ht="30" customHeight="1">
      <x:c r="A20" s="2" t="str">
        <x:v>02 选取任务</x:v>
      </x:c>
      <x:c r="B20" s="70" t="str">
        <x:v>覆盖新功能、缺陷修复、跨模块改动、测试补充等实际场景，混合低中高复杂度；不要只选某工具擅长的任务。</x:v>
      </x:c>
      <x:c r="C20" s="2"/>
      <x:c r="D20" s="2"/>
      <x:c r="E20" s="2"/>
      <x:c r="F20" s="2"/>
      <x:c r="G20" s="2"/>
    </x:row>
    <x:row r="21" ht="30" customHeight="1">
      <x:c r="A21" s="2" t="str">
        <x:v>03 控制学习效应</x:v>
      </x:c>
      <x:c r="B21" s="70" t="str">
        <x:v>同一特性每工具独立分支与新会话，不互看产物。安排不同熟练度人员轮换，先做不计分的熟悉练习。</x:v>
      </x:c>
      <x:c r="C21" s="2"/>
      <x:c r="D21" s="2"/>
      <x:c r="E21" s="2"/>
      <x:c r="F21" s="2"/>
      <x:c r="G21" s="2"/>
    </x:row>
    <x:row r="22" ht="30" customHeight="1">
      <x:c r="A22" s="2" t="str">
        <x:v>04 平衡顺序</x:v>
      </x:c>
      <x:c r="B22" s="70" t="str">
        <x:v>可按四个顺序块轮换：CC-CX-TR-CA、CX-TR-CA-CC、TR-CA-CC-CX、CA-CC-CX-TR。实际顺序填 1–4。</x:v>
      </x:c>
      <x:c r="C22" s="2"/>
      <x:c r="D22" s="2"/>
      <x:c r="E22" s="2"/>
      <x:c r="F22" s="2"/>
      <x:c r="G22" s="2"/>
    </x:row>
    <x:row r="23" ht="30" customHeight="1">
      <x:c r="A23" s="2" t="str">
        <x:v>05 重复运行</x:v>
      </x:c>
      <x:c r="B23" s="70" t="str">
        <x:v>建议 3 轮；资源有限可选 1–2 轮。每一轮四工具使用相同需求、上下文、预算与门槛。不能只保留最佳一次。</x:v>
      </x:c>
      <x:c r="C23" s="2"/>
      <x:c r="D23" s="2"/>
      <x:c r="E23" s="2"/>
      <x:c r="F23" s="2"/>
      <x:c r="G23" s="2"/>
    </x:row>
    <x:row r="24" ht="30" customHeight="1">
      <x:c r="A24" s="2" t="str">
        <x:v>06 原始与最终</x:v>
      </x:c>
      <x:c r="B24" s="70" t="str">
        <x:v>先保存 AI 原始产物提交并跑统一验收，再允许人工修正。两阶段分别保留提交与报告，记录人工改码分钟。</x:v>
      </x:c>
      <x:c r="C24" s="2"/>
      <x:c r="D24" s="2"/>
      <x:c r="E24" s="2"/>
      <x:c r="F24" s="2"/>
      <x:c r="G24" s="2"/>
    </x:row>
    <x:row r="25" ht="30" customHeight="1">
      <x:c r="A25" s="2" t="str">
        <x:v>07 计时方式</x:v>
      </x:c>
      <x:c r="B25" s="70" t="str">
        <x:v>开始为第一条正式任务发送，结束为停止尝试并保存产物。外部暂停只扣除与工具无关的中断，并说明原因。</x:v>
      </x:c>
      <x:c r="C25" s="2"/>
      <x:c r="D25" s="2"/>
      <x:c r="E25" s="2"/>
      <x:c r="F25" s="2"/>
      <x:c r="G25" s="2"/>
    </x:row>
    <x:row r="26" ht="30" customHeight="1">
      <x:c r="A26" s="2" t="str">
        <x:v>08 人工投入</x:v>
      </x:c>
      <x:c r="B26" s="70" t="str">
        <x:v>记录单名操作者主动投入分钟，含提示、审查、验证与修正；不得超过净耗时。AI 等待不计人工投入。多人协作另设批次。</x:v>
      </x:c>
      <x:c r="C26" s="2"/>
      <x:c r="D26" s="2"/>
      <x:c r="E26" s="2"/>
      <x:c r="F26" s="2"/>
      <x:c r="G26" s="2"/>
    </x:row>
    <x:row r="27" ht="30" customHeight="1">
      <x:c r="A27" s="2" t="str">
        <x:v>09 有效干预</x:v>
      </x:c>
      <x:c r="B27" s="70" t="str">
        <x:v>同一问题一次连续纠偏计 1 次。机械点击许可不计有效干预，但计入主动投入与交互体验观察。</x:v>
      </x:c>
      <x:c r="C27" s="2"/>
      <x:c r="D27" s="2"/>
      <x:c r="E27" s="2"/>
      <x:c r="F27" s="2"/>
      <x:c r="G27" s="2"/>
    </x:row>
    <x:row r="28" ht="30" customHeight="1">
      <x:c r="A28" s="2" t="str">
        <x:v>10 终止条件</x:v>
      </x:c>
      <x:c r="B28" s="70" t="str">
        <x:v>到统一时间上限停止并记“超时”。故障无法恢复记“工具故障”。任务未完成而主动停止须说明，结果仍纳入。</x:v>
      </x:c>
      <x:c r="C28" s="2"/>
      <x:c r="D28" s="2"/>
      <x:c r="E28" s="2"/>
      <x:c r="F28" s="2"/>
      <x:c r="G28" s="2"/>
    </x:row>
    <x:row r="29" ht="30" customHeight="1">
      <x:c r="A29" s="2" t="str">
        <x:v>11 完成与达标</x:v>
      </x:c>
      <x:c r="B29" s="70" t="str">
        <x:v>“完成”表示尝试已结束；达标还要求预算内最终用例全过、回归与审查通过、无新增严重缺陷。超时与故障计失败。</x:v>
      </x:c>
      <x:c r="C29" s="2"/>
      <x:c r="D29" s="2"/>
      <x:c r="E29" s="2"/>
      <x:c r="F29" s="2"/>
      <x:c r="G29" s="2"/>
    </x:row>
    <x:row r="30" ht="30" customHeight="1">
      <x:c r="A30" s="2" t="str">
        <x:v>12 失败不删除</x:v>
      </x:c>
      <x:c r="B30" s="70" t="str">
        <x:v>保留失败、超时与工具限制。配额耗尽或不支持是工具组合的观察结果；协议偏差单独记录，复验后新建批次。</x:v>
      </x:c>
      <x:c r="C30" s="2"/>
      <x:c r="D30" s="2"/>
      <x:c r="E30" s="2"/>
      <x:c r="F30" s="2"/>
      <x:c r="G30" s="2"/>
    </x:row>
    <x:row r="31" ht="30" customHeight="1">
      <x:c r="A31" s="2" t="str">
        <x:v>13 配对统计</x:v>
      </x:c>
      <x:c r="B31" s="70" t="str">
        <x:v>主表仅纳入四工具同特性同轮次都齐备的组。缺一个工具时整组暂不比较；“已纳入运行数”保留可见的数据覆盖。</x:v>
      </x:c>
      <x:c r="C31" s="2"/>
      <x:c r="D31" s="2"/>
      <x:c r="E31" s="2"/>
      <x:c r="F31" s="2"/>
      <x:c r="G31" s="2"/>
    </x:row>
    <x:row r="32" ht="30" customHeight="1">
      <x:c r="A32" s="2" t="str">
        <x:v>14 评分缺失</x:v>
      </x:c>
      <x:c r="B32" s="70" t="str">
        <x:v>未观察到的维度留空，不填 0。保留客观结果；八维评分、评分人及理由齐备才有体验分，四工具齐备才比较。</x:v>
      </x:c>
      <x:c r="C32" s="2"/>
      <x:c r="D32" s="2"/>
      <x:c r="E32" s="2"/>
      <x:c r="F32" s="2"/>
      <x:c r="G32" s="2"/>
    </x:row>
    <x:row r="33" ht="30" customHeight="1">
      <x:c r="A33" s="2" t="str">
        <x:v>15 评分依据</x:v>
      </x:c>
      <x:c r="B33" s="70" t="str">
        <x:v>每维评分需对应会话或产物，评分理由可集中在证据包。产品不支持且任务实际触发可评 1；未触发只能留空。</x:v>
      </x:c>
      <x:c r="C33" s="2"/>
      <x:c r="D33" s="2"/>
      <x:c r="E33" s="2"/>
      <x:c r="F33" s="2"/>
      <x:c r="G33" s="2"/>
    </x:row>
    <x:row r="34" ht="30" customHeight="1">
      <x:c r="A34" s="2" t="str">
        <x:v>16 费用口径</x:v>
      </x:c>
      <x:c r="B34" s="70" t="str">
        <x:v>统一元人民币口径；外币记录原币、汇率日期及来源。订阅分摊先固定分母，免费或无增量支出填 0，未知留空。</x:v>
      </x:c>
      <x:c r="C34" s="2"/>
      <x:c r="D34" s="2"/>
      <x:c r="E34" s="2"/>
      <x:c r="F34" s="2"/>
      <x:c r="G34" s="2"/>
    </x:row>
    <x:row r="35" ht="30" customHeight="1">
      <x:c r="A35" s="2" t="str">
        <x:v>17 模型与配置</x:v>
      </x:c>
      <x:c r="B35" s="70" t="str">
        <x:v>结论针对实际工具、版本、模型、权限和人员组合。模型不可控时完整记录；受控基线与最佳实践分开报告。</x:v>
      </x:c>
      <x:c r="C35" s="2"/>
      <x:c r="D35" s="2"/>
      <x:c r="E35" s="2"/>
      <x:c r="F35" s="2"/>
      <x:c r="G35" s="2"/>
    </x:row>
    <x:row r="36" ht="30" customHeight="1">
      <x:c r="A36" s="2" t="str">
        <x:v>18 证据包内容</x:v>
      </x:c>
      <x:c r="B36" s="70" t="str">
        <x:v>包含初始提示词及会话、原始与最终提交、统一测试命令与报告、回归及审查、计时与干预、费用和配置截图。</x:v>
      </x:c>
      <x:c r="C36" s="2"/>
      <x:c r="D36" s="2"/>
      <x:c r="E36" s="2"/>
      <x:c r="F36" s="2"/>
      <x:c r="G36" s="2"/>
    </x:row>
    <x:row r="37" ht="30" customHeight="1">
      <x:c r="A37" s="2" t="str">
        <x:v>19 结果复核</x:v>
      </x:c>
      <x:c r="B37" s="70" t="str">
        <x:v>复核人核对日志、提交与测试报告。代码审查尽量隐去工具名称；评分分歧根据行为证据复议，不根据品牌调整。</x:v>
      </x:c>
      <x:c r="C37" s="2"/>
      <x:c r="D37" s="2"/>
      <x:c r="E37" s="2"/>
      <x:c r="F37" s="2"/>
      <x:c r="G37" s="2"/>
    </x:row>
    <x:row r="38" ht="30" customHeight="1">
      <x:c r="A38" s="2" t="str">
        <x:v>20 模板容量</x:v>
      </x:c>
      <x:c r="B38" s="70" t="str">
        <x:v>固定支持 F01–F12、每项最多 3 轮。仅在预留行填写；超出容量新建批次文件，不向表尾追加后误用旧汇总范围。</x:v>
      </x:c>
      <x:c r="C38" s="2"/>
      <x:c r="D38" s="2"/>
      <x:c r="E38" s="2"/>
      <x:c r="F38" s="2"/>
      <x:c r="G38" s="2"/>
    </x:row>
    <x:row r="39" ht="30" customHeight="1">
      <x:c r="A39" s="2" t="str">
        <x:v>21 排序筛选</x:v>
      </x:c>
      <x:c r="B39" s="70" t="str">
        <x:v>整张表排序，保留固定运行ID、配对ID及特性ID。跨表以 ID 匹配；不要只排序某一列，不要覆盖灰蓝色公式。</x:v>
      </x:c>
      <x:c r="C39" s="2"/>
      <x:c r="D39" s="2"/>
      <x:c r="E39" s="2"/>
      <x:c r="F39" s="2"/>
      <x:c r="G39" s="2"/>
    </x:row>
    <x:row r="40" ht="30" customHeight="1">
      <x:c r="A40" s="2" t="str">
        <x:v>22 小样本结论</x:v>
      </x:c>
      <x:c r="B40" s="70" t="str">
        <x:v>先解释能力差距发生在哪些任务与事件，再讨论适用场景。失败原因、样本量及人员差异应随结论展示。</x:v>
      </x:c>
      <x:c r="C40" s="2"/>
      <x:c r="D40" s="2"/>
      <x:c r="E40" s="2"/>
      <x:c r="F40" s="2"/>
      <x:c r="G40" s="2"/>
    </x:row>
    <x:row r="41" ht="30" customHeight="1">
      <x:c r="A41" s="2" t="str">
        <x:v>23 人工基线</x:v>
      </x:c>
      <x:c r="B41" s="70" t="str">
        <x:v>人工基线为可选旁证，须附同范围、同门槛和人员能力说明。本模板不把未验证的估计工时当作节省时间。</x:v>
      </x:c>
      <x:c r="C41" s="2"/>
      <x:c r="D41" s="2"/>
      <x:c r="E41" s="2"/>
      <x:c r="F41" s="2"/>
      <x:c r="G41" s="2"/>
    </x:row>
    <x:row r="42" ht="30" customHeight="1">
      <x:c r="A42" s="2" t="str">
        <x:v>24 填写示例</x:v>
      </x:c>
      <x:c r="B42" s="70" t="str">
        <x:v>F01 可定义为“新增订单筛选”，验收集应列有效、空值、权限、分页等用例。示例不代表任何真实评测数据。</x:v>
      </x:c>
      <x:c r="C42" s="2"/>
      <x:c r="D42" s="2"/>
      <x:c r="E42" s="2"/>
      <x:c r="F42" s="2"/>
      <x:c r="G42" s="2"/>
    </x:row>
    <x:row r="43" ht="30" customHeight="1">
      <x:c r="A43" s="2" t="str">
        <x:v>25 表内默认</x:v>
      </x:c>
      <x:c r="B43" s="70" t="str">
        <x:v>权重、3 轮计划与 1–5 分锚点为模板建议；业务特性、版本、时间、成绩、费用及结论由试点团队实填。</x:v>
      </x:c>
      <x:c r="C43" s="2"/>
      <x:c r="D43" s="2"/>
      <x:c r="E43" s="2"/>
      <x:c r="F43" s="2"/>
      <x:c r="G43" s="2"/>
    </x:row>
    <x:row r="44" ht="30" customHeight="1">
      <x:c r="A44" s="2" t="str">
        <x:v>26 计算方式</x:v>
      </x:c>
      <x:c r="B44" s="70" t="str">
        <x:v>能力体验分 = 各维评分 × 权重之和 ×20；同一组中各工具使用完全相同的权重。没有额外品牌系数。</x:v>
      </x:c>
      <x:c r="C44" s="2"/>
      <x:c r="D44" s="2"/>
      <x:c r="E44" s="2"/>
      <x:c r="F44" s="2"/>
      <x:c r="G44" s="2"/>
    </x:row>
    <x:row r="45" ht="30" customHeight="1">
      <x:c r="A45" s="2" t="str">
        <x:v>27 解释耗时</x:v>
      </x:c>
      <x:c r="B45" s="70" t="str">
        <x:v>失败尝试也包含在平均耗时中。先看达标交付率，再解读耗时；提前失败可能耗时更短，不能据此判断效率更高。</x:v>
      </x:c>
      <x:c r="C45" s="2"/>
      <x:c r="D45" s="2"/>
      <x:c r="E45" s="2"/>
      <x:c r="F45" s="2"/>
      <x:c r="G45" s="2"/>
    </x:row>
    <x:row r="46" ht="30" customHeight="1">
      <x:c r="A46" s="2" t="str">
        <x:v>28 重复与空值</x:v>
      </x:c>
      <x:c r="B46" s="70" t="str">
        <x:v>重复运行ID或评分ID不进入配对。没有输入时结果留空；已观测为 0 的通过数、缺陷数和费用保留为真实零值。</x:v>
      </x:c>
      <x:c r="C46" s="2"/>
      <x:c r="D46" s="2"/>
      <x:c r="E46" s="2"/>
      <x:c r="F46" s="2"/>
      <x:c r="G46" s="2"/>
    </x:row>
    <x:row r="49" ht="30" customHeight="1">
      <x:c r="A49" s="94" t="str">
        <x:v>价值与体验怎么反馈</x:v>
      </x:c>
      <x:c r="B49" s="2"/>
      <x:c r="C49" s="2"/>
      <x:c r="D49" s="2"/>
      <x:c r="E49" s="2"/>
      <x:c r="F49" s="2"/>
      <x:c r="G49" s="2"/>
    </x:row>
    <x:row r="50" ht="30" customHeight="1">
      <x:c r="A50" s="2"/>
      <x:c r="B50" s="2"/>
      <x:c r="C50" s="2"/>
      <x:c r="D50" s="2"/>
      <x:c r="E50" s="2"/>
      <x:c r="F50" s="2"/>
      <x:c r="G50" s="2"/>
    </x:row>
    <x:row r="51" ht="30" customHeight="1">
      <x:c r="A51" s="2" t="str">
        <x:v>先写一件事</x:v>
      </x:c>
      <x:c r="B51" s="2" t="str">
        <x:v>一行记录一个具体价值点或体验事件。一个运行可记录多行；每行使用不同反馈ID。</x:v>
      </x:c>
      <x:c r="C51" s="2"/>
      <x:c r="D51" s="2"/>
      <x:c r="E51" s="2"/>
      <x:c r="F51" s="2"/>
      <x:c r="G51" s="2"/>
    </x:row>
    <x:row r="52" ht="30" customHeight="1">
      <x:c r="A52" s="2" t="str">
        <x:v>场景关联</x:v>
      </x:c>
      <x:c r="B52" s="2" t="str">
        <x:v>在特性清单至少填写特性名称；选择对应运行ID后自动带出工具和业务特性。反馈不依赖运行记录的完整度。</x:v>
      </x:c>
      <x:c r="C52" s="2"/>
      <x:c r="D52" s="2"/>
      <x:c r="E52" s="2"/>
      <x:c r="F52" s="2"/>
      <x:c r="G52" s="2"/>
    </x:row>
    <x:row r="53" ht="30" customHeight="1">
      <x:c r="A53" s="2" t="str">
        <x:v>六个问题</x:v>
      </x:c>
      <x:c r="B53" s="2" t="str">
        <x:v>哪个工具特性？原来卡哪里？Agent做了什么？改变了什么？哪一幕最有感？以后还愿不愿用？</x:v>
      </x:c>
      <x:c r="C53" s="2"/>
      <x:c r="D53" s="2"/>
      <x:c r="E53" s="2"/>
      <x:c r="F53" s="2"/>
      <x:c r="G53" s="2"/>
    </x:row>
    <x:row r="54" ht="30" customHeight="1">
      <x:c r="A54" s="2" t="str">
        <x:v>价值程度</x:v>
      </x:c>
      <x:c r="B54" s="2" t="str">
        <x:v>高价值：改变关键步骤、解决原有卡点或显著减少返工。有帮助：局部改善。负价值：额外负担超过收益。</x:v>
      </x:c>
      <x:c r="C54" s="2"/>
      <x:c r="D54" s="2"/>
      <x:c r="E54" s="2"/>
      <x:c r="F54" s="2"/>
      <x:c r="G54" s="2"/>
    </x:row>
    <x:row r="55" ht="30" customHeight="1">
      <x:c r="A55" s="2" t="str">
        <x:v>体验变化</x:v>
      </x:c>
      <x:c r="B55" s="2" t="str">
        <x:v>明显更好或更差须有具体事件。无明显区别也是有效反馈。未体验时价值和体验均选“未体验”。</x:v>
      </x:c>
      <x:c r="C55" s="2"/>
      <x:c r="D55" s="2"/>
      <x:c r="E55" s="2"/>
      <x:c r="F55" s="2"/>
      <x:c r="G55" s="2"/>
    </x:row>
    <x:row r="56" ht="30" customHeight="1">
      <x:c r="A56" s="2" t="str">
        <x:v>证据与复核</x:v>
      </x:c>
      <x:c r="B56" s="2" t="str">
        <x:v>成员可以先写自述，再补会话、提交或测试证据。负责人核对后填写复核结论和姓名，才进入已复核汇总。</x:v>
      </x:c>
      <x:c r="C56" s="2"/>
      <x:c r="D56" s="2"/>
      <x:c r="E56" s="2"/>
      <x:c r="F56" s="2"/>
      <x:c r="G56" s="2"/>
    </x:row>
    <x:row r="57" ht="30" customHeight="1">
      <x:c r="A57" s="2" t="str">
        <x:v>不要这样写</x:v>
      </x:c>
      <x:c r="B57" s="2" t="str">
        <x:v>只写“智能、丝滑、好用、效率高”无法解释价值。补上触发场景、动作、结果或失败造成的具体代价。</x:v>
      </x:c>
      <x:c r="C57" s="2"/>
      <x:c r="D57" s="2"/>
      <x:c r="E57" s="2"/>
      <x:c r="F57" s="2"/>
      <x:c r="G57" s="2"/>
    </x:row>
    <x:row r="58" ht="30" customHeight="1">
      <x:c r="A58" s="2"/>
      <x:c r="B58" s="2"/>
      <x:c r="C58" s="2"/>
      <x:c r="D58" s="2"/>
      <x:c r="E58" s="2"/>
      <x:c r="F58" s="2"/>
      <x:c r="G58" s="2"/>
    </x:row>
    <x:row r="59" ht="30" customHeight="1">
      <x:c r="A59" s="29" t="str">
        <x:v>虚构示例（仅示范表达，不计入汇总）</x:v>
      </x:c>
      <x:c r="B59" s="2"/>
      <x:c r="C59" s="2"/>
      <x:c r="D59" s="2"/>
      <x:c r="E59" s="2"/>
      <x:c r="F59" s="2"/>
      <x:c r="G59" s="2"/>
    </x:row>
    <x:row r="60" ht="30" customHeight="1">
      <x:c r="A60" s="2"/>
      <x:c r="B60" s="2"/>
      <x:c r="C60" s="2"/>
      <x:c r="D60" s="2"/>
      <x:c r="E60" s="2"/>
      <x:c r="F60" s="2"/>
      <x:c r="G60" s="2"/>
    </x:row>
    <x:row r="61" ht="46" customHeight="1">
      <x:c r="A61" s="79" t="str">
        <x:v>提问</x:v>
      </x:c>
      <x:c r="B61" s="80" t="str">
        <x:v>正面示例</x:v>
      </x:c>
      <x:c r="C61" s="81" t="str">
        <x:v>负面示例</x:v>
      </x:c>
      <x:c r="D61" s="2"/>
      <x:c r="E61" s="2"/>
      <x:c r="F61" s="2"/>
      <x:c r="G61" s="2"/>
    </x:row>
    <x:row r="62" ht="62" customHeight="1">
      <x:c r="A62" s="67" t="str">
        <x:v>业务特性</x:v>
      </x:c>
      <x:c r="B62" s="67" t="str">
        <x:v>订单筛选开发</x:v>
      </x:c>
      <x:c r="C62" s="67" t="str">
        <x:v>订单筛选开发</x:v>
      </x:c>
      <x:c r="D62" s="2"/>
      <x:c r="E62" s="2"/>
      <x:c r="F62" s="2"/>
      <x:c r="G62" s="2"/>
    </x:row>
    <x:row r="63" ht="62" customHeight="1">
      <x:c r="A63" s="68" t="str">
        <x:v>工具特性</x:v>
      </x:c>
      <x:c r="B63" s="68" t="str">
        <x:v>跨文件修改</x:v>
      </x:c>
      <x:c r="C63" s="68" t="str">
        <x:v>终端与工具调用</x:v>
      </x:c>
      <x:c r="D63" s="2"/>
      <x:c r="E63" s="2"/>
      <x:c r="F63" s="2"/>
      <x:c r="G63" s="2"/>
    </x:row>
    <x:row r="64" ht="62" customHeight="1">
      <x:c r="A64" s="68" t="str">
        <x:v>原来卡在哪里</x:v>
      </x:c>
      <x:c r="B64" s="68" t="str">
        <x:v>需要逐个找到接口、服务、查询和测试文件，担心漏改</x:v>
      </x:c>
      <x:c r="C64" s="68" t="str">
        <x:v>测试命令失败，需要先找到环境或实现原因</x:v>
      </x:c>
      <x:c r="D64" s="2"/>
      <x:c r="E64" s="2"/>
      <x:c r="F64" s="2"/>
      <x:c r="G64" s="2"/>
    </x:row>
    <x:row r="65" ht="62" customHeight="1">
      <x:c r="A65" s="68" t="str">
        <x:v>Agent做了什么</x:v>
      </x:c>
      <x:c r="B65" s="68" t="str">
        <x:v>定位相关文件，同步增加筛选参数与边界测试</x:v>
      </x:c>
      <x:c r="C65" s="68" t="str">
        <x:v>连续重复相同失败命令，没有解释失败原因</x:v>
      </x:c>
      <x:c r="D65" s="2"/>
      <x:c r="E65" s="2"/>
      <x:c r="F65" s="2"/>
      <x:c r="G65" s="2"/>
    </x:row>
    <x:row r="66" ht="62" customHeight="1">
      <x:c r="A66" s="68" t="str">
        <x:v>价值或损失</x:v>
      </x:c>
      <x:c r="B66" s="68" t="str">
        <x:v>少做了一次逐文件查漏，验收通过，减少接手改码</x:v>
      </x:c>
      <x:c r="C66" s="68" t="str">
        <x:v>增加了排查负担，最终由我中止并手动定位</x:v>
      </x:c>
      <x:c r="D66" s="2"/>
      <x:c r="E66" s="2"/>
      <x:c r="F66" s="2"/>
      <x:c r="G66" s="2"/>
    </x:row>
    <x:row r="67" ht="62" customHeight="1">
      <x:c r="A67" s="68" t="str">
        <x:v>最有感的一幕</x:v>
      </x:c>
      <x:c r="B67" s="68" t="str">
        <x:v>我补充“空筛选值怎么办”，它立即补了对应测试</x:v>
      </x:c>
      <x:c r="C67" s="68" t="str">
        <x:v>界面显示仍在处理，但多轮输出没有新信息</x:v>
      </x:c>
      <x:c r="D67" s="2"/>
      <x:c r="E67" s="2"/>
      <x:c r="F67" s="2"/>
      <x:c r="G67" s="2"/>
    </x:row>
    <x:row r="68" ht="62" customHeight="1">
      <x:c r="A68" s="68" t="str">
        <x:v>后续意愿</x:v>
      </x:c>
      <x:c r="B68" s="68" t="str">
        <x:v>愿意常用；希望保留跨文件影响定位</x:v>
      </x:c>
      <x:c r="C68" s="68" t="str">
        <x:v>有条件使用；希望连续失败后主动暂停并说明原因</x:v>
      </x:c>
      <x:c r="D68" s="2"/>
      <x:c r="E68" s="2"/>
      <x:c r="F68" s="2"/>
      <x:c r="G68" s="2"/>
    </x:row>
    <x:row r="69" ht="62" customHeight="1">
      <x:c r="A69" s="69" t="str">
        <x:v>证据要求</x:v>
      </x:c>
      <x:c r="B69" s="69" t="str">
        <x:v>关联实际提交、测试报告及该段会话</x:v>
      </x:c>
      <x:c r="C69" s="69" t="str">
        <x:v>关联失败命令、重复次数、人工接管事件与会话</x:v>
      </x:c>
      <x:c r="D69" s="2"/>
      <x:c r="E69" s="2"/>
      <x:c r="F69" s="2"/>
      <x:c r="G69" s="2"/>
    </x:row>
    <x:row r="70" ht="30" customHeight="1">
      <x:c r="A70" s="2"/>
      <x:c r="B70" s="2"/>
      <x:c r="C70" s="2"/>
      <x:c r="D70" s="2"/>
      <x:c r="E70" s="2"/>
      <x:c r="F70" s="2"/>
      <x:c r="G70" s="2"/>
    </x:row>
    <x:row r="71" ht="30" customHeight="1">
      <x:c r="A71" s="2"/>
      <x:c r="B71" s="2"/>
      <x:c r="C71" s="2"/>
      <x:c r="D71" s="2"/>
      <x:c r="E71" s="2"/>
      <x:c r="F71" s="2"/>
      <x:c r="G71" s="2"/>
    </x:row>
    <x:row r="72" ht="30" customHeight="1">
      <x:c r="A72" s="2" t="str">
        <x:v>采集范围</x:v>
      </x:c>
      <x:c r="B72" s="2" t="str">
        <x:v>预留 144 条价值体验反馈。条数不是人数；不要靠重复提交累加价值判断，结论需结合具体场景与证据。</x:v>
      </x:c>
      <x:c r="C72" s="2"/>
      <x:c r="D72" s="2"/>
      <x:c r="E72" s="2"/>
      <x:c r="F72" s="2"/>
      <x:c r="G72" s="2"/>
    </x:row>
    <x:row r="73" ht="30" customHeight="1">
      <x:c r="A73" s="2" t="str">
        <x:v>原量化规则</x:v>
      </x:c>
      <x:c r="B73" s="2" t="str">
        <x:v>运行记录、能力评分、配对比较保持原口径；原首页量化内容移至“交付对比”。</x:v>
      </x:c>
      <x:c r="C73" s="2"/>
      <x:c r="D73" s="2"/>
      <x:c r="E73" s="2"/>
      <x:c r="F73" s="2"/>
      <x:c r="G73" s="2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416781"/>
  </x:sheetPr>
  <x:sheetViews>
    <x:sheetView showGridLines="0" workbookViewId="0"/>
  </x:sheetViews>
  <x:sheetFormatPr defaultRowHeight="15"/>
  <x:cols>
    <x:col min="1" max="1" width="33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4" hidden="0" customWidth="1"/>
    <x:col min="7" max="7" width="54" hidden="0" customWidth="1"/>
    <x:col min="8" max="8" width="16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</x:row>
    <x:row r="2" ht="34" customHeight="1">
      <x:c r="A2" s="4" t="str">
        <x:v>交付与能力评分对比</x:v>
      </x:c>
      <x:c r="B2" s="5"/>
      <x:c r="C2" s="5"/>
      <x:c r="D2" s="5"/>
      <x:c r="E2" s="5"/>
      <x:c r="F2" s="5"/>
      <x:c r="G2" s="5"/>
      <x:c r="H2" s="5"/>
    </x:row>
    <x:row r="3" ht="25" customHeight="1">
      <x:c r="A3" s="6" t="str">
        <x:v>客观数据仅比较同特性同轮次的四工具完整配对。具体价值与明显体验请先填写“价值体验反馈”。</x:v>
      </x:c>
      <x:c r="B3" s="2"/>
      <x:c r="C3" s="2"/>
      <x:c r="D3" s="2"/>
      <x:c r="E3" s="2"/>
      <x:c r="F3" s="2"/>
      <x:c r="G3" s="2"/>
      <x:c r="H3" s="2"/>
    </x:row>
    <x:row r="4" ht="25" customHeight="1">
      <x:c r="A4" s="2" t="str">
        <x:v>客观配对组数</x:v>
      </x:c>
      <x:c r="B4" s="59" t="n">
        <x:f>SUM('配对比较'!$J$7:$J$42)</x:f>
        <x:v>0</x:v>
      </x:c>
      <x:c r="C4" s="2" t="str">
        <x:v>计划配对组数</x:v>
      </x:c>
      <x:c r="D4" s="59" t="n">
        <x:f>SUM('配对比较'!$E$7:$E$42)</x:f>
        <x:v>0</x:v>
      </x:c>
      <x:c r="E4" s="2"/>
      <x:c r="F4" s="2"/>
      <x:c r="G4" s="2" t="str">
        <x:v>预留 12 个特性，每个最多 3 轮，共 144 次运行。</x:v>
      </x:c>
      <x:c r="H4" s="2"/>
    </x:row>
    <x:row r="5" ht="25" customHeight="1">
      <x:c r="A5" s="2"/>
      <x:c r="B5" s="2"/>
      <x:c r="C5" s="2"/>
      <x:c r="D5" s="2"/>
      <x:c r="E5" s="2"/>
      <x:c r="F5" s="2"/>
      <x:c r="G5" s="2"/>
      <x:c r="H5" s="2"/>
    </x:row>
    <x:row r="6" ht="46" customHeight="1">
      <x:c r="A6" s="79" t="str">
        <x:v>指标</x:v>
      </x:c>
      <x:c r="B6" s="80" t="str">
        <x:v>Claude Code</x:v>
      </x:c>
      <x:c r="C6" s="80" t="str">
        <x:v>Codex</x:v>
      </x:c>
      <x:c r="D6" s="80" t="str">
        <x:v>Trae</x:v>
      </x:c>
      <x:c r="E6" s="81" t="str">
        <x:v>CodeArts</x:v>
      </x:c>
      <x:c r="F6" s="2"/>
      <x:c r="G6" s="29" t="str">
        <x:v>统计口径</x:v>
      </x:c>
      <x:c r="H6" s="2"/>
    </x:row>
    <x:row r="7" ht="37" customHeight="1">
      <x:c r="A7" s="2" t="str">
        <x:v>已纳入运行数（含未配对）</x:v>
      </x:c>
      <x:c r="B7" s="60" t="n">
        <x:f>COUNTIFS('运行记录'!$E$7:$E$150,B$6,'运行记录'!$AE$7:$AE$150,"纳入")</x:f>
        <x:v>0</x:v>
      </x:c>
      <x:c r="C7" s="60" t="n">
        <x:f>COUNTIFS('运行记录'!$E$7:$E$150,C$6,'运行记录'!$AE$7:$AE$150,"纳入")</x:f>
        <x:v>0</x:v>
      </x:c>
      <x:c r="D7" s="60" t="n">
        <x:f>COUNTIFS('运行记录'!$E$7:$E$150,D$6,'运行记录'!$AE$7:$AE$150,"纳入")</x:f>
        <x:v>0</x:v>
      </x:c>
      <x:c r="E7" s="60" t="n">
        <x:f>COUNTIFS('运行记录'!$E$7:$E$150,E$6,'运行记录'!$AE$7:$AE$150,"纳入")</x:f>
        <x:v>0</x:v>
      </x:c>
      <x:c r="F7" s="2"/>
      <x:c r="G7" s="25" t="str">
        <x:v>满足记录要求的终态运行。用于观察数据覆盖。</x:v>
      </x:c>
      <x:c r="H7" s="2"/>
    </x:row>
    <x:row r="8" ht="37" customHeight="1">
      <x:c r="A8" s="2" t="str">
        <x:v>客观配对次数 N</x:v>
      </x:c>
      <x:c r="B8" s="60" t="n">
        <x:f>COUNTIFS('运行记录'!$E$7:$E$150,B$6,'运行记录'!$AF$7:$AF$150,1)</x:f>
        <x:v>0</x:v>
      </x:c>
      <x:c r="C8" s="60" t="n">
        <x:f>COUNTIFS('运行记录'!$E$7:$E$150,C$6,'运行记录'!$AF$7:$AF$150,1)</x:f>
        <x:v>0</x:v>
      </x:c>
      <x:c r="D8" s="60" t="n">
        <x:f>COUNTIFS('运行记录'!$E$7:$E$150,D$6,'运行记录'!$AF$7:$AF$150,1)</x:f>
        <x:v>0</x:v>
      </x:c>
      <x:c r="E8" s="60" t="n">
        <x:f>COUNTIFS('运行记录'!$E$7:$E$150,E$6,'运行记录'!$AF$7:$AF$150,1)</x:f>
        <x:v>0</x:v>
      </x:c>
      <x:c r="F8" s="2"/>
      <x:c r="G8" s="25" t="str">
        <x:v>同一特性、同一轮次四种工具均有完整记录。</x:v>
      </x:c>
      <x:c r="H8" s="2"/>
    </x:row>
    <x:row r="9" ht="37" customHeight="1">
      <x:c r="A9" s="2" t="str">
        <x:v>达标交付率</x:v>
      </x:c>
      <x:c r="B9" s="61" t="str">
        <x:f>IF(B8=0,"",SUMIFS('运行记录'!$AD$7:$AD$150,'运行记录'!$E$7:$E$150,B$6,'运行记录'!$AF$7:$AF$150,1)/B8)</x:f>
      </x:c>
      <x:c r="C9" s="61" t="str">
        <x:f>IF(C8=0,"",SUMIFS('运行记录'!$AD$7:$AD$150,'运行记录'!$E$7:$E$150,C$6,'运行记录'!$AF$7:$AF$150,1)/C8)</x:f>
      </x:c>
      <x:c r="D9" s="61" t="str">
        <x:f>IF(D8=0,"",SUMIFS('运行记录'!$AD$7:$AD$150,'运行记录'!$E$7:$E$150,D$6,'运行记录'!$AF$7:$AF$150,1)/D8)</x:f>
      </x:c>
      <x:c r="E9" s="61" t="str">
        <x:f>IF(E8=0,"",SUMIFS('运行记录'!$AD$7:$AD$150,'运行记录'!$E$7:$E$150,E$6,'运行记录'!$AF$7:$AF$150,1)/E8)</x:f>
      </x:c>
      <x:c r="F9" s="2"/>
      <x:c r="G9" s="25" t="str">
        <x:v>预算内最终全通过、回归与审查通过、无新增严重缺陷。</x:v>
      </x:c>
      <x:c r="H9" s="2"/>
    </x:row>
    <x:row r="10" ht="37" customHeight="1">
      <x:c r="A10" s="2" t="str">
        <x:v>AI 原始验收通过率</x:v>
      </x:c>
      <x:c r="B10" s="61" t="str">
        <x:f>IF(B8=0,"",SUMIFS('运行记录'!$AB$7:$AB$150,'运行记录'!$E$7:$E$150,B$6,'运行记录'!$AF$7:$AF$150,1)/B8)</x:f>
      </x:c>
      <x:c r="C10" s="61" t="str">
        <x:f>IF(C8=0,"",SUMIFS('运行记录'!$AB$7:$AB$150,'运行记录'!$E$7:$E$150,C$6,'运行记录'!$AF$7:$AF$150,1)/C8)</x:f>
      </x:c>
      <x:c r="D10" s="61" t="str">
        <x:f>IF(D8=0,"",SUMIFS('运行记录'!$AB$7:$AB$150,'运行记录'!$E$7:$E$150,D$6,'运行记录'!$AF$7:$AF$150,1)/D8)</x:f>
      </x:c>
      <x:c r="E10" s="61" t="str">
        <x:f>IF(E8=0,"",SUMIFS('运行记录'!$AB$7:$AB$150,'运行记录'!$E$7:$E$150,E$6,'运行记录'!$AF$7:$AF$150,1)/E8)</x:f>
      </x:c>
      <x:c r="F10" s="2"/>
      <x:c r="G10" s="25" t="str">
        <x:v>人工直接改码前测得的通过数 / 统一用例总数。</x:v>
      </x:c>
      <x:c r="H10" s="2"/>
    </x:row>
    <x:row r="11" ht="37" customHeight="1">
      <x:c r="A11" s="2" t="str">
        <x:v>最终验收通过率</x:v>
      </x:c>
      <x:c r="B11" s="61" t="str">
        <x:f>IF(B8=0,"",SUMIFS('运行记录'!$AC$7:$AC$150,'运行记录'!$E$7:$E$150,B$6,'运行记录'!$AF$7:$AF$150,1)/B8)</x:f>
      </x:c>
      <x:c r="C11" s="61" t="str">
        <x:f>IF(C8=0,"",SUMIFS('运行记录'!$AC$7:$AC$150,'运行记录'!$E$7:$E$150,C$6,'运行记录'!$AF$7:$AF$150,1)/C8)</x:f>
      </x:c>
      <x:c r="D11" s="61" t="str">
        <x:f>IF(D8=0,"",SUMIFS('运行记录'!$AC$7:$AC$150,'运行记录'!$E$7:$E$150,D$6,'运行记录'!$AF$7:$AF$150,1)/D8)</x:f>
      </x:c>
      <x:c r="E11" s="61" t="str">
        <x:f>IF(E8=0,"",SUMIFS('运行记录'!$AC$7:$AC$150,'运行记录'!$E$7:$E$150,E$6,'运行记录'!$AF$7:$AF$150,1)/E8)</x:f>
      </x:c>
      <x:c r="F11" s="2"/>
      <x:c r="G11" s="25" t="str">
        <x:v>包含人工修正后的最终通过率。逐次运行等权平均。</x:v>
      </x:c>
      <x:c r="H11" s="2"/>
    </x:row>
    <x:row r="12" ht="37" customHeight="1">
      <x:c r="A12" s="2" t="str">
        <x:v>平均净耗时（分钟）</x:v>
      </x:c>
      <x:c r="B12" s="62" t="str">
        <x:f>IF(B8=0,"",SUMIFS('运行记录'!$AA$7:$AA$150,'运行记录'!$E$7:$E$150,B$6,'运行记录'!$AF$7:$AF$150,1)/B8)</x:f>
      </x:c>
      <x:c r="C12" s="62" t="str">
        <x:f>IF(C8=0,"",SUMIFS('运行记录'!$AA$7:$AA$150,'运行记录'!$E$7:$E$150,C$6,'运行记录'!$AF$7:$AF$150,1)/C8)</x:f>
      </x:c>
      <x:c r="D12" s="62" t="str">
        <x:f>IF(D8=0,"",SUMIFS('运行记录'!$AA$7:$AA$150,'运行记录'!$E$7:$E$150,D$6,'运行记录'!$AF$7:$AF$150,1)/D8)</x:f>
      </x:c>
      <x:c r="E12" s="62" t="str">
        <x:f>IF(E8=0,"",SUMIFS('运行记录'!$AA$7:$AA$150,'运行记录'!$E$7:$E$150,E$6,'运行记录'!$AF$7:$AF$150,1)/E8)</x:f>
      </x:c>
      <x:c r="F12" s="2"/>
      <x:c r="G12" s="25" t="str">
        <x:v>结束减开始，扣除外部暂停。包含 AI 等待及工具故障。</x:v>
      </x:c>
      <x:c r="H12" s="2"/>
    </x:row>
    <x:row r="13" ht="37" customHeight="1">
      <x:c r="A13" s="2" t="str">
        <x:v>平均人工投入（分钟）</x:v>
      </x:c>
      <x:c r="B13" s="62" t="str">
        <x:f>IF(B8=0,"",SUMIFS('运行记录'!$K$7:$K$150,'运行记录'!$E$7:$E$150,B$6,'运行记录'!$AF$7:$AF$150,1)/B8)</x:f>
      </x:c>
      <x:c r="C13" s="62" t="str">
        <x:f>IF(C8=0,"",SUMIFS('运行记录'!$K$7:$K$150,'运行记录'!$E$7:$E$150,C$6,'运行记录'!$AF$7:$AF$150,1)/C8)</x:f>
      </x:c>
      <x:c r="D13" s="62" t="str">
        <x:f>IF(D8=0,"",SUMIFS('运行记录'!$K$7:$K$150,'运行记录'!$E$7:$E$150,D$6,'运行记录'!$AF$7:$AF$150,1)/D8)</x:f>
      </x:c>
      <x:c r="E13" s="62" t="str">
        <x:f>IF(E8=0,"",SUMIFS('运行记录'!$K$7:$K$150,'运行记录'!$E$7:$E$150,E$6,'运行记录'!$AF$7:$AF$150,1)/E8)</x:f>
      </x:c>
      <x:c r="F13" s="2"/>
      <x:c r="G13" s="25" t="str">
        <x:v>提示、判断、审查、改码、运行测试等主动投入。</x:v>
      </x:c>
      <x:c r="H13" s="2"/>
    </x:row>
    <x:row r="14" ht="37" customHeight="1">
      <x:c r="A14" s="2" t="str">
        <x:v>平均人工改码（分钟）</x:v>
      </x:c>
      <x:c r="B14" s="62" t="str">
        <x:f>IF(B8=0,"",SUMIFS('运行记录'!$L$7:$L$150,'运行记录'!$E$7:$E$150,B$6,'运行记录'!$AF$7:$AF$150,1)/B8)</x:f>
      </x:c>
      <x:c r="C14" s="62" t="str">
        <x:f>IF(C8=0,"",SUMIFS('运行记录'!$L$7:$L$150,'运行记录'!$E$7:$E$150,C$6,'运行记录'!$AF$7:$AF$150,1)/C8)</x:f>
      </x:c>
      <x:c r="D14" s="62" t="str">
        <x:f>IF(D8=0,"",SUMIFS('运行记录'!$L$7:$L$150,'运行记录'!$E$7:$E$150,D$6,'运行记录'!$AF$7:$AF$150,1)/D8)</x:f>
      </x:c>
      <x:c r="E14" s="62" t="str">
        <x:f>IF(E8=0,"",SUMIFS('运行记录'!$L$7:$L$150,'运行记录'!$E$7:$E$150,E$6,'运行记录'!$AF$7:$AF$150,1)/E8)</x:f>
      </x:c>
      <x:c r="F14" s="2"/>
      <x:c r="G14" s="25" t="str">
        <x:v>人工投入的子集，避免把人工接管算作 AI 能力。</x:v>
      </x:c>
      <x:c r="H14" s="2"/>
    </x:row>
    <x:row r="15" ht="37" customHeight="1">
      <x:c r="A15" s="2" t="str">
        <x:v>平均有效干预（次）</x:v>
      </x:c>
      <x:c r="B15" s="62" t="str">
        <x:f>IF(B8=0,"",SUMIFS('运行记录'!$M$7:$M$150,'运行记录'!$E$7:$E$150,B$6,'运行记录'!$AF$7:$AF$150,1)/B8)</x:f>
      </x:c>
      <x:c r="C15" s="62" t="str">
        <x:f>IF(C8=0,"",SUMIFS('运行记录'!$M$7:$M$150,'运行记录'!$E$7:$E$150,C$6,'运行记录'!$AF$7:$AF$150,1)/C8)</x:f>
      </x:c>
      <x:c r="D15" s="62" t="str">
        <x:f>IF(D8=0,"",SUMIFS('运行记录'!$M$7:$M$150,'运行记录'!$E$7:$E$150,D$6,'运行记录'!$AF$7:$AF$150,1)/D8)</x:f>
      </x:c>
      <x:c r="E15" s="62" t="str">
        <x:f>IF(E8=0,"",SUMIFS('运行记录'!$M$7:$M$150,'运行记录'!$E$7:$E$150,E$6,'运行记录'!$AF$7:$AF$150,1)/E8)</x:f>
      </x:c>
      <x:c r="F15" s="2"/>
      <x:c r="G15" s="25" t="str">
        <x:v>改变方向、给定位线索、补上下文或直接修正的次数。</x:v>
      </x:c>
      <x:c r="H15" s="2"/>
    </x:row>
    <x:row r="16" ht="37" customHeight="1">
      <x:c r="A16" s="2" t="str">
        <x:v>超时或超预算次数</x:v>
      </x:c>
      <x:c r="B16" s="60" t="str">
        <x:f>IF(B8=0,"",SUMIFS('运行记录'!$AK$7:$AK$150,'运行记录'!$E$7:$E$150,B$6,'运行记录'!$AF$7:$AF$150,1))</x:f>
      </x:c>
      <x:c r="C16" s="60" t="str">
        <x:f>IF(C8=0,"",SUMIFS('运行记录'!$AK$7:$AK$150,'运行记录'!$E$7:$E$150,C$6,'运行记录'!$AF$7:$AF$150,1))</x:f>
      </x:c>
      <x:c r="D16" s="60" t="str">
        <x:f>IF(D8=0,"",SUMIFS('运行记录'!$AK$7:$AK$150,'运行记录'!$E$7:$E$150,D$6,'运行记录'!$AF$7:$AF$150,1))</x:f>
      </x:c>
      <x:c r="E16" s="60" t="str">
        <x:f>IF(E8=0,"",SUMIFS('运行记录'!$AK$7:$AK$150,'运行记录'!$E$7:$E$150,E$6,'运行记录'!$AF$7:$AF$150,1))</x:f>
      </x:c>
      <x:c r="F16" s="2"/>
      <x:c r="G16" s="25" t="str">
        <x:v>终态为超时，或净耗时超过统一限时。</x:v>
      </x:c>
      <x:c r="H16" s="2"/>
    </x:row>
    <x:row r="17" ht="37" customHeight="1">
      <x:c r="A17" s="2" t="str">
        <x:v>工具故障终止次数</x:v>
      </x:c>
      <x:c r="B17" s="60" t="str">
        <x:f>IF(B8=0,"",COUNTIFS('运行记录'!$E$7:$E$150,B$6,'运行记录'!$AF$7:$AF$150,1,'运行记录'!$O$7:$O$150,"工具故障"))</x:f>
      </x:c>
      <x:c r="C17" s="60" t="str">
        <x:f>IF(C8=0,"",COUNTIFS('运行记录'!$E$7:$E$150,C$6,'运行记录'!$AF$7:$AF$150,1,'运行记录'!$O$7:$O$150,"工具故障"))</x:f>
      </x:c>
      <x:c r="D17" s="60" t="str">
        <x:f>IF(D8=0,"",COUNTIFS('运行记录'!$E$7:$E$150,D$6,'运行记录'!$AF$7:$AF$150,1,'运行记录'!$O$7:$O$150,"工具故障"))</x:f>
      </x:c>
      <x:c r="E17" s="60" t="str">
        <x:f>IF(E8=0,"",COUNTIFS('运行记录'!$E$7:$E$150,E$6,'运行记录'!$AF$7:$AF$150,1,'运行记录'!$O$7:$O$150,"工具故障"))</x:f>
      </x:c>
      <x:c r="F17" s="2"/>
      <x:c r="G17" s="25" t="str">
        <x:v>终态为工具故障的完整记录，计入达标率分母。</x:v>
      </x:c>
      <x:c r="H17" s="2"/>
    </x:row>
    <x:row r="18" ht="37" customHeight="1">
      <x:c r="A18" s="2" t="str">
        <x:v>能力评分配对次数 N</x:v>
      </x:c>
      <x:c r="B18" s="60" t="n">
        <x:f>COUNTIFS('能力评分'!$D$7:$D$150,B$6,'能力评分'!$Q$7:$Q$150,1)</x:f>
        <x:v>0</x:v>
      </x:c>
      <x:c r="C18" s="60" t="n">
        <x:f>COUNTIFS('能力评分'!$D$7:$D$150,C$6,'能力评分'!$Q$7:$Q$150,1)</x:f>
        <x:v>0</x:v>
      </x:c>
      <x:c r="D18" s="60" t="n">
        <x:f>COUNTIFS('能力评分'!$D$7:$D$150,D$6,'能力评分'!$Q$7:$Q$150,1)</x:f>
        <x:v>0</x:v>
      </x:c>
      <x:c r="E18" s="60" t="n">
        <x:f>COUNTIFS('能力评分'!$D$7:$D$150,E$6,'能力评分'!$Q$7:$Q$150,1)</x:f>
        <x:v>0</x:v>
      </x:c>
      <x:c r="F18" s="2"/>
      <x:c r="G18" s="25" t="str">
        <x:v>客观记录齐备且四工具八维评分及证据均齐备。</x:v>
      </x:c>
      <x:c r="H18" s="2"/>
    </x:row>
    <x:row r="19" ht="37" customHeight="1">
      <x:c r="A19" s="2" t="str">
        <x:v>能力体验分（满分100）</x:v>
      </x:c>
      <x:c r="B19" s="62" t="str">
        <x:f>IF(B18=0,"",SUMIFS('能力评分'!$N$7:$N$150,'能力评分'!$D$7:$D$150,B$6,'能力评分'!$Q$7:$Q$150,1)/B18)</x:f>
      </x:c>
      <x:c r="C19" s="62" t="str">
        <x:f>IF(C18=0,"",SUMIFS('能力评分'!$N$7:$N$150,'能力评分'!$D$7:$D$150,C$6,'能力评分'!$Q$7:$Q$150,1)/C18)</x:f>
      </x:c>
      <x:c r="D19" s="62" t="str">
        <x:f>IF(D18=0,"",SUMIFS('能力评分'!$N$7:$N$150,'能力评分'!$D$7:$D$150,D$6,'能力评分'!$Q$7:$Q$150,1)/D18)</x:f>
      </x:c>
      <x:c r="E19" s="62" t="str">
        <x:f>IF(E18=0,"",SUMIFS('能力评分'!$N$7:$N$150,'能力评分'!$D$7:$D$150,E$6,'能力评分'!$Q$7:$Q$150,1)/E18)</x:f>
      </x:c>
      <x:c r="F19" s="2"/>
      <x:c r="G19" s="25" t="str">
        <x:v>八维 1–5 分按权重加权 ×20，仅比较评分齐备组。</x:v>
      </x:c>
      <x:c r="H19" s="2"/>
    </x:row>
    <x:row r="20" ht="37" customHeight="1">
      <x:c r="A20" s="2" t="str">
        <x:v>费用配对次数 N</x:v>
      </x:c>
      <x:c r="B20" s="60" t="n">
        <x:f>COUNTIFS('运行记录'!$E$7:$E$150,B$6,'运行记录'!$AG$7:$AG$150,1)</x:f>
        <x:v>0</x:v>
      </x:c>
      <x:c r="C20" s="60" t="n">
        <x:f>COUNTIFS('运行记录'!$E$7:$E$150,C$6,'运行记录'!$AG$7:$AG$150,1)</x:f>
        <x:v>0</x:v>
      </x:c>
      <x:c r="D20" s="60" t="n">
        <x:f>COUNTIFS('运行记录'!$E$7:$E$150,D$6,'运行记录'!$AG$7:$AG$150,1)</x:f>
        <x:v>0</x:v>
      </x:c>
      <x:c r="E20" s="60" t="n">
        <x:f>COUNTIFS('运行记录'!$E$7:$E$150,E$6,'运行记录'!$AG$7:$AG$150,1)</x:f>
        <x:v>0</x:v>
      </x:c>
      <x:c r="F20" s="2"/>
      <x:c r="G20" s="25" t="str">
        <x:v>四工具费用均记录且采用本批次统一费用口径。</x:v>
      </x:c>
      <x:c r="H20" s="2"/>
    </x:row>
    <x:row r="21" ht="37" customHeight="1">
      <x:c r="A21" s="2" t="str">
        <x:v>平均工具费用（元）</x:v>
      </x:c>
      <x:c r="B21" s="63" t="str">
        <x:f>IF(B20=0,"",SUMIFS('运行记录'!$U$7:$U$150,'运行记录'!$E$7:$E$150,B$6,'运行记录'!$AG$7:$AG$150,1)/B20)</x:f>
      </x:c>
      <x:c r="C21" s="63" t="str">
        <x:f>IF(C20=0,"",SUMIFS('运行记录'!$U$7:$U$150,'运行记录'!$E$7:$E$150,C$6,'运行记录'!$AG$7:$AG$150,1)/C20)</x:f>
      </x:c>
      <x:c r="D21" s="63" t="str">
        <x:f>IF(D20=0,"",SUMIFS('运行记录'!$U$7:$U$150,'运行记录'!$E$7:$E$150,D$6,'运行记录'!$AG$7:$AG$150,1)/D20)</x:f>
      </x:c>
      <x:c r="E21" s="63" t="str">
        <x:f>IF(E20=0,"",SUMIFS('运行记录'!$U$7:$U$150,'运行记录'!$E$7:$E$150,E$6,'运行记录'!$AG$7:$AG$150,1)/E20)</x:f>
      </x:c>
      <x:c r="F21" s="2"/>
      <x:c r="G21" s="25" t="str">
        <x:v>仅费用齐备组。空白表示未知；0 表示确认无支出。</x:v>
      </x:c>
      <x:c r="H21" s="2"/>
    </x:row>
    <x:row r="22" ht="25" customHeight="1">
      <x:c r="A22" s="2"/>
      <x:c r="B22" s="2"/>
      <x:c r="C22" s="2"/>
      <x:c r="D22" s="2"/>
      <x:c r="E22" s="2"/>
      <x:c r="F22" s="2"/>
      <x:c r="G22" s="2"/>
      <x:c r="H22" s="2"/>
    </x:row>
    <x:row r="23" ht="25" customHeight="1">
      <x:c r="A23" s="2"/>
      <x:c r="B23" s="2"/>
      <x:c r="C23" s="2"/>
      <x:c r="D23" s="2"/>
      <x:c r="E23" s="2"/>
      <x:c r="F23" s="2"/>
      <x:c r="G23" s="2"/>
      <x:c r="H23" s="2"/>
    </x:row>
    <x:row r="24" ht="46" customHeight="1">
      <x:c r="A24" s="79" t="str">
        <x:v>能力维度（1–5分）</x:v>
      </x:c>
      <x:c r="B24" s="80" t="str">
        <x:v>Claude Code</x:v>
      </x:c>
      <x:c r="C24" s="80" t="str">
        <x:v>Codex</x:v>
      </x:c>
      <x:c r="D24" s="80" t="str">
        <x:v>Trae</x:v>
      </x:c>
      <x:c r="E24" s="81" t="str">
        <x:v>CodeArts</x:v>
      </x:c>
      <x:c r="F24" s="2"/>
      <x:c r="G24" s="29" t="str">
        <x:v>权重</x:v>
      </x:c>
      <x:c r="H24" s="29" t="str">
        <x:v>高低差</x:v>
      </x:c>
    </x:row>
    <x:row r="25" ht="25" customHeight="1">
      <x:c r="A25" s="2" t="str">
        <x:v>需求理解</x:v>
      </x:c>
      <x:c r="B25" s="64" t="str">
        <x:f>IF(B$18=0,"",SUMIFS('能力评分'!$F$7:$F$150,'能力评分'!$D$7:$D$150,B$24,'能力评分'!$Q$7:$Q$150,1)/B$18)</x:f>
      </x:c>
      <x:c r="C25" s="64" t="str">
        <x:f>IF(C$18=0,"",SUMIFS('能力评分'!$F$7:$F$150,'能力评分'!$D$7:$D$150,C$24,'能力评分'!$Q$7:$Q$150,1)/C$18)</x:f>
      </x:c>
      <x:c r="D25" s="64" t="str">
        <x:f>IF(D$18=0,"",SUMIFS('能力评分'!$F$7:$F$150,'能力评分'!$D$7:$D$150,D$24,'能力评分'!$Q$7:$Q$150,1)/D$18)</x:f>
      </x:c>
      <x:c r="E25" s="64" t="str">
        <x:f>IF(E$18=0,"",SUMIFS('能力评分'!$F$7:$F$150,'能力评分'!$D$7:$D$150,E$24,'能力评分'!$Q$7:$Q$150,1)/E$18)</x:f>
      </x:c>
      <x:c r="F25" s="2"/>
      <x:c r="G25" s="34" t="n">
        <x:f>'试点设置'!B29</x:f>
        <x:v>0.15</x:v>
      </x:c>
      <x:c r="H25" s="64" t="str">
        <x:f>IF(COUNT(B25:E25)=4,MAX(B25:E25)-MIN(B25:E25),"")</x:f>
      </x:c>
    </x:row>
    <x:row r="26" ht="25" customHeight="1">
      <x:c r="A26" s="2" t="str">
        <x:v>仓库上下文</x:v>
      </x:c>
      <x:c r="B26" s="64" t="str">
        <x:f>IF(B$18=0,"",SUMIFS('能力评分'!$G$7:$G$150,'能力评分'!$D$7:$D$150,B$24,'能力评分'!$Q$7:$Q$150,1)/B$18)</x:f>
      </x:c>
      <x:c r="C26" s="64" t="str">
        <x:f>IF(C$18=0,"",SUMIFS('能力评分'!$G$7:$G$150,'能力评分'!$D$7:$D$150,C$24,'能力评分'!$Q$7:$Q$150,1)/C$18)</x:f>
      </x:c>
      <x:c r="D26" s="64" t="str">
        <x:f>IF(D$18=0,"",SUMIFS('能力评分'!$G$7:$G$150,'能力评分'!$D$7:$D$150,D$24,'能力评分'!$Q$7:$Q$150,1)/D$18)</x:f>
      </x:c>
      <x:c r="E26" s="64" t="str">
        <x:f>IF(E$18=0,"",SUMIFS('能力评分'!$G$7:$G$150,'能力评分'!$D$7:$D$150,E$24,'能力评分'!$Q$7:$Q$150,1)/E$18)</x:f>
      </x:c>
      <x:c r="F26" s="2"/>
      <x:c r="G26" s="34" t="n">
        <x:f>'试点设置'!C29</x:f>
        <x:v>0.15</x:v>
      </x:c>
      <x:c r="H26" s="64" t="str">
        <x:f>IF(COUNT(B26:E26)=4,MAX(B26:E26)-MIN(B26:E26),"")</x:f>
      </x:c>
    </x:row>
    <x:row r="27" ht="25" customHeight="1">
      <x:c r="A27" s="2" t="str">
        <x:v>方案与实现</x:v>
      </x:c>
      <x:c r="B27" s="64" t="str">
        <x:f>IF(B$18=0,"",SUMIFS('能力评分'!$H$7:$H$150,'能力评分'!$D$7:$D$150,B$24,'能力评分'!$Q$7:$Q$150,1)/B$18)</x:f>
      </x:c>
      <x:c r="C27" s="64" t="str">
        <x:f>IF(C$18=0,"",SUMIFS('能力评分'!$H$7:$H$150,'能力评分'!$D$7:$D$150,C$24,'能力评分'!$Q$7:$Q$150,1)/C$18)</x:f>
      </x:c>
      <x:c r="D27" s="64" t="str">
        <x:f>IF(D$18=0,"",SUMIFS('能力评分'!$H$7:$H$150,'能力评分'!$D$7:$D$150,D$24,'能力评分'!$Q$7:$Q$150,1)/D$18)</x:f>
      </x:c>
      <x:c r="E27" s="64" t="str">
        <x:f>IF(E$18=0,"",SUMIFS('能力评分'!$H$7:$H$150,'能力评分'!$D$7:$D$150,E$24,'能力评分'!$Q$7:$Q$150,1)/E$18)</x:f>
      </x:c>
      <x:c r="F27" s="2"/>
      <x:c r="G27" s="34" t="n">
        <x:f>'试点设置'!D29</x:f>
        <x:v>0.2</x:v>
      </x:c>
      <x:c r="H27" s="64" t="str">
        <x:f>IF(COUNT(B27:E27)=4,MAX(B27:E27)-MIN(B27:E27),"")</x:f>
      </x:c>
    </x:row>
    <x:row r="28" ht="25" customHeight="1">
      <x:c r="A28" s="2" t="str">
        <x:v>代码可维护性</x:v>
      </x:c>
      <x:c r="B28" s="64" t="str">
        <x:f>IF(B$18=0,"",SUMIFS('能力评分'!$I$7:$I$150,'能力评分'!$D$7:$D$150,B$24,'能力评分'!$Q$7:$Q$150,1)/B$18)</x:f>
      </x:c>
      <x:c r="C28" s="64" t="str">
        <x:f>IF(C$18=0,"",SUMIFS('能力评分'!$I$7:$I$150,'能力评分'!$D$7:$D$150,C$24,'能力评分'!$Q$7:$Q$150,1)/C$18)</x:f>
      </x:c>
      <x:c r="D28" s="64" t="str">
        <x:f>IF(D$18=0,"",SUMIFS('能力评分'!$I$7:$I$150,'能力评分'!$D$7:$D$150,D$24,'能力评分'!$Q$7:$Q$150,1)/D$18)</x:f>
      </x:c>
      <x:c r="E28" s="64" t="str">
        <x:f>IF(E$18=0,"",SUMIFS('能力评分'!$I$7:$I$150,'能力评分'!$D$7:$D$150,E$24,'能力评分'!$Q$7:$Q$150,1)/E$18)</x:f>
      </x:c>
      <x:c r="F28" s="2"/>
      <x:c r="G28" s="34" t="n">
        <x:f>'试点设置'!E29</x:f>
        <x:v>0.1</x:v>
      </x:c>
      <x:c r="H28" s="64" t="str">
        <x:f>IF(COUNT(B28:E28)=4,MAX(B28:E28)-MIN(B28:E28),"")</x:f>
      </x:c>
    </x:row>
    <x:row r="29" ht="25" customHeight="1">
      <x:c r="A29" s="2" t="str">
        <x:v>测试与修复</x:v>
      </x:c>
      <x:c r="B29" s="64" t="str">
        <x:f>IF(B$18=0,"",SUMIFS('能力评分'!$J$7:$J$150,'能力评分'!$D$7:$D$150,B$24,'能力评分'!$Q$7:$Q$150,1)/B$18)</x:f>
      </x:c>
      <x:c r="C29" s="64" t="str">
        <x:f>IF(C$18=0,"",SUMIFS('能力评分'!$J$7:$J$150,'能力评分'!$D$7:$D$150,C$24,'能力评分'!$Q$7:$Q$150,1)/C$18)</x:f>
      </x:c>
      <x:c r="D29" s="64" t="str">
        <x:f>IF(D$18=0,"",SUMIFS('能力评分'!$J$7:$J$150,'能力评分'!$D$7:$D$150,D$24,'能力评分'!$Q$7:$Q$150,1)/D$18)</x:f>
      </x:c>
      <x:c r="E29" s="64" t="str">
        <x:f>IF(E$18=0,"",SUMIFS('能力评分'!$J$7:$J$150,'能力评分'!$D$7:$D$150,E$24,'能力评分'!$Q$7:$Q$150,1)/E$18)</x:f>
      </x:c>
      <x:c r="F29" s="2"/>
      <x:c r="G29" s="34" t="n">
        <x:f>'试点设置'!F29</x:f>
        <x:v>0.15</x:v>
      </x:c>
      <x:c r="H29" s="64" t="str">
        <x:f>IF(COUNT(B29:E29)=4,MAX(B29:E29)-MIN(B29:E29),"")</x:f>
      </x:c>
    </x:row>
    <x:row r="30" ht="25" customHeight="1">
      <x:c r="A30" s="2" t="str">
        <x:v>自主执行</x:v>
      </x:c>
      <x:c r="B30" s="64" t="str">
        <x:f>IF(B$18=0,"",SUMIFS('能力评分'!$K$7:$K$150,'能力评分'!$D$7:$D$150,B$24,'能力评分'!$Q$7:$Q$150,1)/B$18)</x:f>
      </x:c>
      <x:c r="C30" s="64" t="str">
        <x:f>IF(C$18=0,"",SUMIFS('能力评分'!$K$7:$K$150,'能力评分'!$D$7:$D$150,C$24,'能力评分'!$Q$7:$Q$150,1)/C$18)</x:f>
      </x:c>
      <x:c r="D30" s="64" t="str">
        <x:f>IF(D$18=0,"",SUMIFS('能力评分'!$K$7:$K$150,'能力评分'!$D$7:$D$150,D$24,'能力评分'!$Q$7:$Q$150,1)/D$18)</x:f>
      </x:c>
      <x:c r="E30" s="64" t="str">
        <x:f>IF(E$18=0,"",SUMIFS('能力评分'!$K$7:$K$150,'能力评分'!$D$7:$D$150,E$24,'能力评分'!$Q$7:$Q$150,1)/E$18)</x:f>
      </x:c>
      <x:c r="F30" s="2"/>
      <x:c r="G30" s="34" t="n">
        <x:f>'试点设置'!G29</x:f>
        <x:v>0.1</x:v>
      </x:c>
      <x:c r="H30" s="64" t="str">
        <x:f>IF(COUNT(B30:E30)=4,MAX(B30:E30)-MIN(B30:E30),"")</x:f>
      </x:c>
    </x:row>
    <x:row r="31" ht="25" customHeight="1">
      <x:c r="A31" s="2" t="str">
        <x:v>交互可控性</x:v>
      </x:c>
      <x:c r="B31" s="64" t="str">
        <x:f>IF(B$18=0,"",SUMIFS('能力评分'!$L$7:$L$150,'能力评分'!$D$7:$D$150,B$24,'能力评分'!$Q$7:$Q$150,1)/B$18)</x:f>
      </x:c>
      <x:c r="C31" s="64" t="str">
        <x:f>IF(C$18=0,"",SUMIFS('能力评分'!$L$7:$L$150,'能力评分'!$D$7:$D$150,C$24,'能力评分'!$Q$7:$Q$150,1)/C$18)</x:f>
      </x:c>
      <x:c r="D31" s="64" t="str">
        <x:f>IF(D$18=0,"",SUMIFS('能力评分'!$L$7:$L$150,'能力评分'!$D$7:$D$150,D$24,'能力评分'!$Q$7:$Q$150,1)/D$18)</x:f>
      </x:c>
      <x:c r="E31" s="64" t="str">
        <x:f>IF(E$18=0,"",SUMIFS('能力评分'!$L$7:$L$150,'能力评分'!$D$7:$D$150,E$24,'能力评分'!$Q$7:$Q$150,1)/E$18)</x:f>
      </x:c>
      <x:c r="F31" s="2"/>
      <x:c r="G31" s="34" t="n">
        <x:f>'试点设置'!H29</x:f>
        <x:v>0.1</x:v>
      </x:c>
      <x:c r="H31" s="64" t="str">
        <x:f>IF(COUNT(B31:E31)=4,MAX(B31:E31)-MIN(B31:E31),"")</x:f>
      </x:c>
    </x:row>
    <x:row r="32" ht="25" customHeight="1">
      <x:c r="A32" s="2" t="str">
        <x:v>工程融入</x:v>
      </x:c>
      <x:c r="B32" s="64" t="str">
        <x:f>IF(B$18=0,"",SUMIFS('能力评分'!$M$7:$M$150,'能力评分'!$D$7:$D$150,B$24,'能力评分'!$Q$7:$Q$150,1)/B$18)</x:f>
      </x:c>
      <x:c r="C32" s="64" t="str">
        <x:f>IF(C$18=0,"",SUMIFS('能力评分'!$M$7:$M$150,'能力评分'!$D$7:$D$150,C$24,'能力评分'!$Q$7:$Q$150,1)/C$18)</x:f>
      </x:c>
      <x:c r="D32" s="64" t="str">
        <x:f>IF(D$18=0,"",SUMIFS('能力评分'!$M$7:$M$150,'能力评分'!$D$7:$D$150,D$24,'能力评分'!$Q$7:$Q$150,1)/D$18)</x:f>
      </x:c>
      <x:c r="E32" s="64" t="str">
        <x:f>IF(E$18=0,"",SUMIFS('能力评分'!$M$7:$M$150,'能力评分'!$D$7:$D$150,E$24,'能力评分'!$Q$7:$Q$150,1)/E$18)</x:f>
      </x:c>
      <x:c r="F32" s="2"/>
      <x:c r="G32" s="34" t="n">
        <x:f>'试点设置'!I29</x:f>
        <x:v>0.05</x:v>
      </x:c>
      <x:c r="H32" s="64" t="str">
        <x:f>IF(COUNT(B32:E32)=4,MAX(B32:E32)-MIN(B32:E32),"")</x:f>
      </x:c>
    </x:row>
    <x:row r="33" ht="25" customHeight="1">
      <x:c r="A33" s="2"/>
      <x:c r="B33" s="2"/>
      <x:c r="C33" s="2"/>
      <x:c r="D33" s="2"/>
      <x:c r="E33" s="2"/>
      <x:c r="F33" s="2"/>
      <x:c r="G33" s="2"/>
      <x:c r="H33" s="2"/>
    </x:row>
    <x:row r="34" ht="25" customHeight="1">
      <x:c r="A34" s="2"/>
      <x:c r="B34" s="2"/>
      <x:c r="C34" s="2"/>
      <x:c r="D34" s="2"/>
      <x:c r="E34" s="2"/>
      <x:c r="F34" s="2"/>
      <x:c r="G34" s="2"/>
      <x:c r="H34" s="2"/>
    </x:row>
    <x:row r="35" ht="25" customHeight="1">
      <x:c r="A35" s="29" t="str">
        <x:v>复盘（按工具填写）</x:v>
      </x:c>
      <x:c r="B35" s="65" t="str">
        <x:v>Claude Code</x:v>
      </x:c>
      <x:c r="C35" s="65" t="str">
        <x:v>Codex</x:v>
      </x:c>
      <x:c r="D35" s="65" t="str">
        <x:v>Trae</x:v>
      </x:c>
      <x:c r="E35" s="65" t="str">
        <x:v>CodeArts</x:v>
      </x:c>
      <x:c r="F35" s="2"/>
      <x:c r="G35" s="2"/>
      <x:c r="H35" s="2"/>
    </x:row>
    <x:row r="36" ht="75" customHeight="1">
      <x:c r="A36" s="2" t="str">
        <x:v>主要能力差距及证据</x:v>
      </x:c>
      <x:c r="B36" s="84"/>
      <x:c r="C36" s="84"/>
      <x:c r="D36" s="84"/>
      <x:c r="E36" s="84"/>
      <x:c r="F36" s="2"/>
      <x:c r="G36" s="25" t="str">
        <x:v>填写时引用配对ID与证据。每次运行等权，不同特性或轮次的样本量应均衡。</x:v>
      </x:c>
      <x:c r="H36" s="2"/>
    </x:row>
    <x:row r="37" ht="8" customHeight="1">
      <x:c r="A37" s="2"/>
      <x:c r="B37" s="2"/>
      <x:c r="C37" s="2"/>
      <x:c r="D37" s="2"/>
      <x:c r="E37" s="2"/>
      <x:c r="F37" s="2"/>
      <x:c r="G37" s="25"/>
      <x:c r="H37" s="2"/>
    </x:row>
    <x:row r="38" ht="75" customHeight="1">
      <x:c r="A38" s="2" t="str">
        <x:v>适用场景 / 不适用场景</x:v>
      </x:c>
      <x:c r="B38" s="84"/>
      <x:c r="C38" s="84"/>
      <x:c r="D38" s="84"/>
      <x:c r="E38" s="84"/>
      <x:c r="F38" s="2"/>
      <x:c r="G38" s="25" t="str">
        <x:v>小样本先展示逐组差异与失败原因。平均分不能单独证明稳定优劣或统计显著性。</x:v>
      </x:c>
      <x:c r="H38" s="2"/>
    </x:row>
    <x:row r="39" ht="8" customHeight="1">
      <x:c r="A39" s="2"/>
      <x:c r="B39" s="2"/>
      <x:c r="C39" s="2"/>
      <x:c r="D39" s="2"/>
      <x:c r="E39" s="2"/>
      <x:c r="F39" s="2"/>
      <x:c r="G39" s="25"/>
      <x:c r="H39" s="2"/>
    </x:row>
    <x:row r="40" ht="75" customHeight="1">
      <x:c r="A40" s="2" t="str">
        <x:v>待验证问题与下一步</x:v>
      </x:c>
      <x:c r="B40" s="84"/>
      <x:c r="C40" s="84"/>
      <x:c r="D40" s="84"/>
      <x:c r="E40" s="84"/>
      <x:c r="F40" s="2"/>
      <x:c r="G40" s="25" t="str">
        <x:v>人工基线仅作旁证：只有范围、人员能力及质量门槛可比时，才另行计算提效。</x:v>
      </x:c>
      <x:c r="H40" s="2"/>
    </x:row>
    <x:row r="41" ht="8" customHeight="1">
      <x:c r="A41" s="2"/>
      <x:c r="B41" s="2"/>
      <x:c r="C41" s="2"/>
      <x:c r="D41" s="2"/>
      <x:c r="E41" s="2"/>
      <x:c r="F41" s="2"/>
      <x:c r="G41" s="25"/>
      <x:c r="H41" s="2"/>
    </x:row>
    <x:row r="42" ht="25" customHeight="1">
      <x:c r="A42" s="2"/>
      <x:c r="B42" s="2"/>
      <x:c r="C42" s="2"/>
      <x:c r="D42" s="2"/>
      <x:c r="E42" s="2"/>
      <x:c r="F42" s="2"/>
      <x:c r="G42" s="2"/>
      <x:c r="H42" s="2"/>
    </x:row>
    <x:row r="43" ht="25" customHeight="1">
      <x:c r="A43" s="2" t="str">
        <x:v>空白代表暂无可比数据。模板未预填任何工具的真实结果或优劣判断。</x:v>
      </x:c>
      <x:c r="B43" s="2"/>
      <x:c r="C43" s="2"/>
      <x:c r="D43" s="2"/>
      <x:c r="E43" s="2"/>
      <x:c r="F43" s="2"/>
      <x:c r="G43" s="2"/>
      <x:c r="H43" s="2"/>
    </x:row>
  </x:sheetData>
  <x:conditionalFormatting sqref="B25:E32">
    <x:cfRule type="expression" dxfId="7" priority="1">
      <x:formula>AND(ISNUMBER(B25),B25&gt;=1,B25&lt;3)</x:formula>
    </x:cfRule>
    <x:cfRule type="expression" dxfId="8" priority="2">
      <x:formula>AND(ISNUMBER(B25),B25&gt;=3,B25&lt;4)</x:formula>
    </x:cfRule>
    <x:cfRule type="expression" dxfId="9" priority="3">
      <x:formula>AND(ISNUMBER(B25),B25&gt;=4)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416781"/>
  </x:sheetPr>
  <x:sheetViews>
    <x:sheetView showGridLines="0" workbookViewId="0">
      <x:pane xSplit="4" ySplit="6" topLeftCell="E7" activePane="bottomRight" state="frozen"/>
    </x:sheetView>
  </x:sheetViews>
  <x:sheetFormatPr defaultRowHeight="15"/>
  <x:cols>
    <x:col min="1" max="1" width="14" hidden="0" customWidth="1"/>
    <x:col min="2" max="2" width="20" hidden="0" customWidth="1"/>
    <x:col min="3" max="3" width="18" hidden="0" customWidth="1"/>
    <x:col min="4" max="4" width="27" hidden="0" customWidth="1"/>
    <x:col min="5" max="5" width="17" hidden="0" customWidth="1"/>
    <x:col min="6" max="6" width="27" hidden="0" customWidth="1"/>
    <x:col min="7" max="7" width="39" hidden="0" customWidth="1"/>
    <x:col min="8" max="8" width="42" hidden="0" customWidth="1"/>
    <x:col min="9" max="9" width="42" hidden="0" customWidth="1"/>
    <x:col min="10" max="10" width="18" hidden="0" customWidth="1"/>
    <x:col min="11" max="11" width="18" hidden="0" customWidth="1"/>
    <x:col min="12" max="12" width="46" hidden="0" customWidth="1"/>
    <x:col min="13" max="13" width="22" hidden="0" customWidth="1"/>
    <x:col min="14" max="14" width="42" hidden="0" customWidth="1"/>
    <x:col min="15" max="15" width="36" hidden="0" customWidth="1"/>
    <x:col min="16" max="16" width="24" hidden="0" customWidth="1"/>
    <x:col min="17" max="17" width="16" hidden="0" customWidth="1"/>
    <x:col min="18" max="18" width="20" hidden="0" customWidth="1"/>
    <x:col min="19" max="19" width="17" hidden="0" customWidth="1"/>
    <x:col min="20" max="20" width="18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34" customHeight="1">
      <x:c r="A2" s="4" t="str">
        <x:v>价值特性与明显体验反馈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</x:row>
    <x:row r="3" ht="25" customHeight="1">
      <x:c r="A3" s="6" t="str">
        <x:v>每行写一件事：原来卡在哪里 → Agent 做了什么 → 实际改变什么 → 最有感的一幕。可重复引用同一运行ID。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</x:row>
    <x:row r="6" ht="46" customHeight="1">
      <x:c r="A6" s="79" t="str">
        <x:v>反馈ID</x:v>
      </x:c>
      <x:c r="B6" s="80" t="str">
        <x:v>关联运行ID</x:v>
      </x:c>
      <x:c r="C6" s="80" t="str">
        <x:v>工具（自动）</x:v>
      </x:c>
      <x:c r="D6" s="80" t="str">
        <x:v>业务特性（自动）</x:v>
      </x:c>
      <x:c r="E6" s="80" t="str">
        <x:v>反馈人</x:v>
      </x:c>
      <x:c r="F6" s="80" t="str">
        <x:v>工具价值特性 / 痛点类别</x:v>
      </x:c>
      <x:c r="G6" s="80" t="str">
        <x:v>原来怎么做 / 卡在哪里</x:v>
      </x:c>
      <x:c r="H6" s="80" t="str">
        <x:v>Agent 具体做了什么</x:v>
      </x:c>
      <x:c r="I6" s="80" t="str">
        <x:v>实际带来的价值 / 损失</x:v>
      </x:c>
      <x:c r="J6" s="80" t="str">
        <x:v>价值程度</x:v>
      </x:c>
      <x:c r="K6" s="80" t="str">
        <x:v>体验变化</x:v>
      </x:c>
      <x:c r="L6" s="80" t="str">
        <x:v>印象最深的一幕 / 原话</x:v>
      </x:c>
      <x:c r="M6" s="80" t="str">
        <x:v>后续使用意愿</x:v>
      </x:c>
      <x:c r="N6" s="80" t="str">
        <x:v>最想保留 / 改进什么（选填）</x:v>
      </x:c>
      <x:c r="O6" s="80" t="str">
        <x:v>会话 / 提交 / 测试证据链接</x:v>
      </x:c>
      <x:c r="P6" s="80" t="str">
        <x:v>记录状态（自动）</x:v>
      </x:c>
      <x:c r="Q6" s="80" t="str">
        <x:v>已附证据 0/1</x:v>
      </x:c>
      <x:c r="R6" s="80" t="str">
        <x:v>复核结论（负责人填）</x:v>
      </x:c>
      <x:c r="S6" s="80" t="str">
        <x:v>复核人</x:v>
      </x:c>
      <x:c r="T6" s="81" t="str">
        <x:v>已复核 0/1</x:v>
      </x:c>
    </x:row>
    <x:row r="7" ht="76" customHeight="1">
      <x:c r="A7" s="88" t="str">
        <x:v>FB001</x:v>
      </x:c>
      <x:c r="B7" s="85"/>
      <x:c r="C7" s="88" t="str">
        <x:f>IF(COUNTIFS('运行记录'!$A$7:$A$150,B7)=1,INDEX('运行记录'!$E$7:$E$150,MATCH(B7,'运行记录'!$A$7:$A$150,0)),"")</x:f>
      </x:c>
      <x:c r="D7" s="89" t="str">
        <x:f>IF(C7="","",IF(INDEX('特性清单'!$B$7:$B$18,MATCH(INDEX('运行记录'!$C$7:$C$150,MATCH(B7,'运行记录'!$A$7:$A$150,0)),'特性清单'!$A$7:$A$18,0))="","",INDEX('特性清单'!$B$7:$B$18,MATCH(INDEX('运行记录'!$C$7:$C$150,MATCH(B7,'运行记录'!$A$7:$A$150,0)),'特性清单'!$A$7:$A$18,0))))</x:f>
      </x:c>
      <x:c r="E7" s="90"/>
      <x:c r="F7" s="90"/>
      <x:c r="G7" s="90"/>
      <x:c r="H7" s="90"/>
      <x:c r="I7" s="90"/>
      <x:c r="J7" s="90"/>
      <x:c r="K7" s="90"/>
      <x:c r="L7" s="90"/>
      <x:c r="M7" s="90"/>
      <x:c r="N7" s="90"/>
      <x:c r="O7" s="90"/>
      <x:c r="P7" s="89" t="str">
        <x:f>IF(COUNTA(B7)+COUNTA(E7:O7)+COUNTA(R7:S7)=0,"待反馈",IF(OR(COUNTIFS('运行记录'!$A$7:$A$150,B7)&lt;&gt;1,COUNTIFS($A$7:$A$150,A7)&lt;&gt;1),"ID无效或重复",IF(OR(D7="",E7="",F7=""),"待补齐场景",IF(AND(J7="未体验",K7="未体验"),"未体验",IF(OR(J7="未体验",K7="未体验"),"需核对未体验",IF(COUNTA(G7:M7)&lt;&gt;7,"待补齐关键内容","已反馈"))))))</x:f>
        <x:v>待反馈</x:v>
      </x:c>
      <x:c r="Q7" s="89" t="n">
        <x:f>IF(AND(P7="已反馈",O7&lt;&gt;""),1,0)</x:f>
        <x:v>0</x:v>
      </x:c>
      <x:c r="R7" s="90"/>
      <x:c r="S7" s="90"/>
      <x:c r="T7" s="89" t="n">
        <x:f>IF(AND(P7="已反馈",Q7=1,R7="已核对",S7&lt;&gt;""),1,0)</x:f>
        <x:v>0</x:v>
      </x:c>
    </x:row>
    <x:row r="8" ht="76" customHeight="1">
      <x:c r="A8" s="88" t="str">
        <x:v>FB002</x:v>
      </x:c>
      <x:c r="B8" s="86"/>
      <x:c r="C8" s="88" t="str">
        <x:f>IF(COUNTIFS('运行记录'!$A$7:$A$150,B8)=1,INDEX('运行记录'!$E$7:$E$150,MATCH(B8,'运行记录'!$A$7:$A$150,0)),"")</x:f>
      </x:c>
      <x:c r="D8" s="89" t="str">
        <x:f>IF(C8="","",IF(INDEX('特性清单'!$B$7:$B$18,MATCH(INDEX('运行记录'!$C$7:$C$150,MATCH(B8,'运行记录'!$A$7:$A$150,0)),'特性清单'!$A$7:$A$18,0))="","",INDEX('特性清单'!$B$7:$B$18,MATCH(INDEX('运行记录'!$C$7:$C$150,MATCH(B8,'运行记录'!$A$7:$A$150,0)),'特性清单'!$A$7:$A$18,0))))</x:f>
      </x:c>
      <x:c r="E8" s="91"/>
      <x:c r="F8" s="91"/>
      <x:c r="G8" s="91"/>
      <x:c r="H8" s="91"/>
      <x:c r="I8" s="91"/>
      <x:c r="J8" s="91"/>
      <x:c r="K8" s="91"/>
      <x:c r="L8" s="91"/>
      <x:c r="M8" s="91"/>
      <x:c r="N8" s="91"/>
      <x:c r="O8" s="91"/>
      <x:c r="P8" s="89" t="str">
        <x:f>IF(COUNTA(B8)+COUNTA(E8:O8)+COUNTA(R8:S8)=0,"待反馈",IF(OR(COUNTIFS('运行记录'!$A$7:$A$150,B8)&lt;&gt;1,COUNTIFS($A$7:$A$150,A8)&lt;&gt;1),"ID无效或重复",IF(OR(D8="",E8="",F8=""),"待补齐场景",IF(AND(J8="未体验",K8="未体验"),"未体验",IF(OR(J8="未体验",K8="未体验"),"需核对未体验",IF(COUNTA(G8:M8)&lt;&gt;7,"待补齐关键内容","已反馈"))))))</x:f>
        <x:v>待反馈</x:v>
      </x:c>
      <x:c r="Q8" s="89" t="n">
        <x:f>IF(AND(P8="已反馈",O8&lt;&gt;""),1,0)</x:f>
        <x:v>0</x:v>
      </x:c>
      <x:c r="R8" s="91"/>
      <x:c r="S8" s="91"/>
      <x:c r="T8" s="89" t="n">
        <x:f>IF(AND(P8="已反馈",Q8=1,R8="已核对",S8&lt;&gt;""),1,0)</x:f>
        <x:v>0</x:v>
      </x:c>
    </x:row>
    <x:row r="9" ht="76" customHeight="1">
      <x:c r="A9" s="88" t="str">
        <x:v>FB003</x:v>
      </x:c>
      <x:c r="B9" s="86"/>
      <x:c r="C9" s="88" t="str">
        <x:f>IF(COUNTIFS('运行记录'!$A$7:$A$150,B9)=1,INDEX('运行记录'!$E$7:$E$150,MATCH(B9,'运行记录'!$A$7:$A$150,0)),"")</x:f>
      </x:c>
      <x:c r="D9" s="89" t="str">
        <x:f>IF(C9="","",IF(INDEX('特性清单'!$B$7:$B$18,MATCH(INDEX('运行记录'!$C$7:$C$150,MATCH(B9,'运行记录'!$A$7:$A$150,0)),'特性清单'!$A$7:$A$18,0))="","",INDEX('特性清单'!$B$7:$B$18,MATCH(INDEX('运行记录'!$C$7:$C$150,MATCH(B9,'运行记录'!$A$7:$A$150,0)),'特性清单'!$A$7:$A$18,0))))</x:f>
      </x:c>
      <x:c r="E9" s="91"/>
      <x:c r="F9" s="91"/>
      <x:c r="G9" s="91"/>
      <x:c r="H9" s="91"/>
      <x:c r="I9" s="91"/>
      <x:c r="J9" s="91"/>
      <x:c r="K9" s="91"/>
      <x:c r="L9" s="91"/>
      <x:c r="M9" s="91"/>
      <x:c r="N9" s="91"/>
      <x:c r="O9" s="91"/>
      <x:c r="P9" s="89" t="str">
        <x:f>IF(COUNTA(B9)+COUNTA(E9:O9)+COUNTA(R9:S9)=0,"待反馈",IF(OR(COUNTIFS('运行记录'!$A$7:$A$150,B9)&lt;&gt;1,COUNTIFS($A$7:$A$150,A9)&lt;&gt;1),"ID无效或重复",IF(OR(D9="",E9="",F9=""),"待补齐场景",IF(AND(J9="未体验",K9="未体验"),"未体验",IF(OR(J9="未体验",K9="未体验"),"需核对未体验",IF(COUNTA(G9:M9)&lt;&gt;7,"待补齐关键内容","已反馈"))))))</x:f>
        <x:v>待反馈</x:v>
      </x:c>
      <x:c r="Q9" s="89" t="n">
        <x:f>IF(AND(P9="已反馈",O9&lt;&gt;""),1,0)</x:f>
        <x:v>0</x:v>
      </x:c>
      <x:c r="R9" s="91"/>
      <x:c r="S9" s="91"/>
      <x:c r="T9" s="89" t="n">
        <x:f>IF(AND(P9="已反馈",Q9=1,R9="已核对",S9&lt;&gt;""),1,0)</x:f>
        <x:v>0</x:v>
      </x:c>
    </x:row>
    <x:row r="10" ht="76" customHeight="1">
      <x:c r="A10" s="88" t="str">
        <x:v>FB004</x:v>
      </x:c>
      <x:c r="B10" s="86"/>
      <x:c r="C10" s="88" t="str">
        <x:f>IF(COUNTIFS('运行记录'!$A$7:$A$150,B10)=1,INDEX('运行记录'!$E$7:$E$150,MATCH(B10,'运行记录'!$A$7:$A$150,0)),"")</x:f>
      </x:c>
      <x:c r="D10" s="89" t="str">
        <x:f>IF(C10="","",IF(INDEX('特性清单'!$B$7:$B$18,MATCH(INDEX('运行记录'!$C$7:$C$150,MATCH(B10,'运行记录'!$A$7:$A$150,0)),'特性清单'!$A$7:$A$18,0))="","",INDEX('特性清单'!$B$7:$B$18,MATCH(INDEX('运行记录'!$C$7:$C$150,MATCH(B10,'运行记录'!$A$7:$A$150,0)),'特性清单'!$A$7:$A$18,0))))</x:f>
      </x:c>
      <x:c r="E10" s="91"/>
      <x:c r="F10" s="91"/>
      <x:c r="G10" s="91"/>
      <x:c r="H10" s="91"/>
      <x:c r="I10" s="91"/>
      <x:c r="J10" s="91"/>
      <x:c r="K10" s="91"/>
      <x:c r="L10" s="91"/>
      <x:c r="M10" s="91"/>
      <x:c r="N10" s="91"/>
      <x:c r="O10" s="91"/>
      <x:c r="P10" s="89" t="str">
        <x:f>IF(COUNTA(B10)+COUNTA(E10:O10)+COUNTA(R10:S10)=0,"待反馈",IF(OR(COUNTIFS('运行记录'!$A$7:$A$150,B10)&lt;&gt;1,COUNTIFS($A$7:$A$150,A10)&lt;&gt;1),"ID无效或重复",IF(OR(D10="",E10="",F10=""),"待补齐场景",IF(AND(J10="未体验",K10="未体验"),"未体验",IF(OR(J10="未体验",K10="未体验"),"需核对未体验",IF(COUNTA(G10:M10)&lt;&gt;7,"待补齐关键内容","已反馈"))))))</x:f>
        <x:v>待反馈</x:v>
      </x:c>
      <x:c r="Q10" s="89" t="n">
        <x:f>IF(AND(P10="已反馈",O10&lt;&gt;""),1,0)</x:f>
        <x:v>0</x:v>
      </x:c>
      <x:c r="R10" s="91"/>
      <x:c r="S10" s="91"/>
      <x:c r="T10" s="89" t="n">
        <x:f>IF(AND(P10="已反馈",Q10=1,R10="已核对",S10&lt;&gt;""),1,0)</x:f>
        <x:v>0</x:v>
      </x:c>
    </x:row>
    <x:row r="11" ht="76" customHeight="1">
      <x:c r="A11" s="88" t="str">
        <x:v>FB005</x:v>
      </x:c>
      <x:c r="B11" s="86"/>
      <x:c r="C11" s="88" t="str">
        <x:f>IF(COUNTIFS('运行记录'!$A$7:$A$150,B11)=1,INDEX('运行记录'!$E$7:$E$150,MATCH(B11,'运行记录'!$A$7:$A$150,0)),"")</x:f>
      </x:c>
      <x:c r="D11" s="89" t="str">
        <x:f>IF(C11="","",IF(INDEX('特性清单'!$B$7:$B$18,MATCH(INDEX('运行记录'!$C$7:$C$150,MATCH(B11,'运行记录'!$A$7:$A$150,0)),'特性清单'!$A$7:$A$18,0))="","",INDEX('特性清单'!$B$7:$B$18,MATCH(INDEX('运行记录'!$C$7:$C$150,MATCH(B11,'运行记录'!$A$7:$A$150,0)),'特性清单'!$A$7:$A$18,0))))</x:f>
      </x:c>
      <x:c r="E11" s="91"/>
      <x:c r="F11" s="91"/>
      <x:c r="G11" s="91"/>
      <x:c r="H11" s="91"/>
      <x:c r="I11" s="91"/>
      <x:c r="J11" s="91"/>
      <x:c r="K11" s="91"/>
      <x:c r="L11" s="91"/>
      <x:c r="M11" s="91"/>
      <x:c r="N11" s="91"/>
      <x:c r="O11" s="91"/>
      <x:c r="P11" s="89" t="str">
        <x:f>IF(COUNTA(B11)+COUNTA(E11:O11)+COUNTA(R11:S11)=0,"待反馈",IF(OR(COUNTIFS('运行记录'!$A$7:$A$150,B11)&lt;&gt;1,COUNTIFS($A$7:$A$150,A11)&lt;&gt;1),"ID无效或重复",IF(OR(D11="",E11="",F11=""),"待补齐场景",IF(AND(J11="未体验",K11="未体验"),"未体验",IF(OR(J11="未体验",K11="未体验"),"需核对未体验",IF(COUNTA(G11:M11)&lt;&gt;7,"待补齐关键内容","已反馈"))))))</x:f>
        <x:v>待反馈</x:v>
      </x:c>
      <x:c r="Q11" s="89" t="n">
        <x:f>IF(AND(P11="已反馈",O11&lt;&gt;""),1,0)</x:f>
        <x:v>0</x:v>
      </x:c>
      <x:c r="R11" s="91"/>
      <x:c r="S11" s="91"/>
      <x:c r="T11" s="89" t="n">
        <x:f>IF(AND(P11="已反馈",Q11=1,R11="已核对",S11&lt;&gt;""),1,0)</x:f>
        <x:v>0</x:v>
      </x:c>
    </x:row>
    <x:row r="12" ht="76" customHeight="1">
      <x:c r="A12" s="88" t="str">
        <x:v>FB006</x:v>
      </x:c>
      <x:c r="B12" s="86"/>
      <x:c r="C12" s="88" t="str">
        <x:f>IF(COUNTIFS('运行记录'!$A$7:$A$150,B12)=1,INDEX('运行记录'!$E$7:$E$150,MATCH(B12,'运行记录'!$A$7:$A$150,0)),"")</x:f>
      </x:c>
      <x:c r="D12" s="89" t="str">
        <x:f>IF(C12="","",IF(INDEX('特性清单'!$B$7:$B$18,MATCH(INDEX('运行记录'!$C$7:$C$150,MATCH(B12,'运行记录'!$A$7:$A$150,0)),'特性清单'!$A$7:$A$18,0))="","",INDEX('特性清单'!$B$7:$B$18,MATCH(INDEX('运行记录'!$C$7:$C$150,MATCH(B12,'运行记录'!$A$7:$A$150,0)),'特性清单'!$A$7:$A$18,0))))</x:f>
      </x:c>
      <x:c r="E12" s="91"/>
      <x:c r="F12" s="91"/>
      <x:c r="G12" s="91"/>
      <x:c r="H12" s="91"/>
      <x:c r="I12" s="91"/>
      <x:c r="J12" s="91"/>
      <x:c r="K12" s="91"/>
      <x:c r="L12" s="91"/>
      <x:c r="M12" s="91"/>
      <x:c r="N12" s="91"/>
      <x:c r="O12" s="91"/>
      <x:c r="P12" s="89" t="str">
        <x:f>IF(COUNTA(B12)+COUNTA(E12:O12)+COUNTA(R12:S12)=0,"待反馈",IF(OR(COUNTIFS('运行记录'!$A$7:$A$150,B12)&lt;&gt;1,COUNTIFS($A$7:$A$150,A12)&lt;&gt;1),"ID无效或重复",IF(OR(D12="",E12="",F12=""),"待补齐场景",IF(AND(J12="未体验",K12="未体验"),"未体验",IF(OR(J12="未体验",K12="未体验"),"需核对未体验",IF(COUNTA(G12:M12)&lt;&gt;7,"待补齐关键内容","已反馈"))))))</x:f>
        <x:v>待反馈</x:v>
      </x:c>
      <x:c r="Q12" s="89" t="n">
        <x:f>IF(AND(P12="已反馈",O12&lt;&gt;""),1,0)</x:f>
        <x:v>0</x:v>
      </x:c>
      <x:c r="R12" s="91"/>
      <x:c r="S12" s="91"/>
      <x:c r="T12" s="89" t="n">
        <x:f>IF(AND(P12="已反馈",Q12=1,R12="已核对",S12&lt;&gt;""),1,0)</x:f>
        <x:v>0</x:v>
      </x:c>
    </x:row>
    <x:row r="13" ht="76" customHeight="1">
      <x:c r="A13" s="88" t="str">
        <x:v>FB007</x:v>
      </x:c>
      <x:c r="B13" s="86"/>
      <x:c r="C13" s="88" t="str">
        <x:f>IF(COUNTIFS('运行记录'!$A$7:$A$150,B13)=1,INDEX('运行记录'!$E$7:$E$150,MATCH(B13,'运行记录'!$A$7:$A$150,0)),"")</x:f>
      </x:c>
      <x:c r="D13" s="89" t="str">
        <x:f>IF(C13="","",IF(INDEX('特性清单'!$B$7:$B$18,MATCH(INDEX('运行记录'!$C$7:$C$150,MATCH(B13,'运行记录'!$A$7:$A$150,0)),'特性清单'!$A$7:$A$18,0))="","",INDEX('特性清单'!$B$7:$B$18,MATCH(INDEX('运行记录'!$C$7:$C$150,MATCH(B13,'运行记录'!$A$7:$A$150,0)),'特性清单'!$A$7:$A$18,0))))</x:f>
      </x:c>
      <x:c r="E13" s="91"/>
      <x:c r="F13" s="91"/>
      <x:c r="G13" s="91"/>
      <x:c r="H13" s="91"/>
      <x:c r="I13" s="91"/>
      <x:c r="J13" s="91"/>
      <x:c r="K13" s="91"/>
      <x:c r="L13" s="91"/>
      <x:c r="M13" s="91"/>
      <x:c r="N13" s="91"/>
      <x:c r="O13" s="91"/>
      <x:c r="P13" s="89" t="str">
        <x:f>IF(COUNTA(B13)+COUNTA(E13:O13)+COUNTA(R13:S13)=0,"待反馈",IF(OR(COUNTIFS('运行记录'!$A$7:$A$150,B13)&lt;&gt;1,COUNTIFS($A$7:$A$150,A13)&lt;&gt;1),"ID无效或重复",IF(OR(D13="",E13="",F13=""),"待补齐场景",IF(AND(J13="未体验",K13="未体验"),"未体验",IF(OR(J13="未体验",K13="未体验"),"需核对未体验",IF(COUNTA(G13:M13)&lt;&gt;7,"待补齐关键内容","已反馈"))))))</x:f>
        <x:v>待反馈</x:v>
      </x:c>
      <x:c r="Q13" s="89" t="n">
        <x:f>IF(AND(P13="已反馈",O13&lt;&gt;""),1,0)</x:f>
        <x:v>0</x:v>
      </x:c>
      <x:c r="R13" s="91"/>
      <x:c r="S13" s="91"/>
      <x:c r="T13" s="89" t="n">
        <x:f>IF(AND(P13="已反馈",Q13=1,R13="已核对",S13&lt;&gt;""),1,0)</x:f>
        <x:v>0</x:v>
      </x:c>
    </x:row>
    <x:row r="14" ht="76" customHeight="1">
      <x:c r="A14" s="88" t="str">
        <x:v>FB008</x:v>
      </x:c>
      <x:c r="B14" s="86"/>
      <x:c r="C14" s="88" t="str">
        <x:f>IF(COUNTIFS('运行记录'!$A$7:$A$150,B14)=1,INDEX('运行记录'!$E$7:$E$150,MATCH(B14,'运行记录'!$A$7:$A$150,0)),"")</x:f>
      </x:c>
      <x:c r="D14" s="89" t="str">
        <x:f>IF(C14="","",IF(INDEX('特性清单'!$B$7:$B$18,MATCH(INDEX('运行记录'!$C$7:$C$150,MATCH(B14,'运行记录'!$A$7:$A$150,0)),'特性清单'!$A$7:$A$18,0))="","",INDEX('特性清单'!$B$7:$B$18,MATCH(INDEX('运行记录'!$C$7:$C$150,MATCH(B14,'运行记录'!$A$7:$A$150,0)),'特性清单'!$A$7:$A$18,0))))</x:f>
      </x:c>
      <x:c r="E14" s="91"/>
      <x:c r="F14" s="91"/>
      <x:c r="G14" s="91"/>
      <x:c r="H14" s="91"/>
      <x:c r="I14" s="91"/>
      <x:c r="J14" s="91"/>
      <x:c r="K14" s="91"/>
      <x:c r="L14" s="91"/>
      <x:c r="M14" s="91"/>
      <x:c r="N14" s="91"/>
      <x:c r="O14" s="91"/>
      <x:c r="P14" s="89" t="str">
        <x:f>IF(COUNTA(B14)+COUNTA(E14:O14)+COUNTA(R14:S14)=0,"待反馈",IF(OR(COUNTIFS('运行记录'!$A$7:$A$150,B14)&lt;&gt;1,COUNTIFS($A$7:$A$150,A14)&lt;&gt;1),"ID无效或重复",IF(OR(D14="",E14="",F14=""),"待补齐场景",IF(AND(J14="未体验",K14="未体验"),"未体验",IF(OR(J14="未体验",K14="未体验"),"需核对未体验",IF(COUNTA(G14:M14)&lt;&gt;7,"待补齐关键内容","已反馈"))))))</x:f>
        <x:v>待反馈</x:v>
      </x:c>
      <x:c r="Q14" s="89" t="n">
        <x:f>IF(AND(P14="已反馈",O14&lt;&gt;""),1,0)</x:f>
        <x:v>0</x:v>
      </x:c>
      <x:c r="R14" s="91"/>
      <x:c r="S14" s="91"/>
      <x:c r="T14" s="89" t="n">
        <x:f>IF(AND(P14="已反馈",Q14=1,R14="已核对",S14&lt;&gt;""),1,0)</x:f>
        <x:v>0</x:v>
      </x:c>
    </x:row>
    <x:row r="15" ht="76" customHeight="1">
      <x:c r="A15" s="88" t="str">
        <x:v>FB009</x:v>
      </x:c>
      <x:c r="B15" s="86"/>
      <x:c r="C15" s="88" t="str">
        <x:f>IF(COUNTIFS('运行记录'!$A$7:$A$150,B15)=1,INDEX('运行记录'!$E$7:$E$150,MATCH(B15,'运行记录'!$A$7:$A$150,0)),"")</x:f>
      </x:c>
      <x:c r="D15" s="89" t="str">
        <x:f>IF(C15="","",IF(INDEX('特性清单'!$B$7:$B$18,MATCH(INDEX('运行记录'!$C$7:$C$150,MATCH(B15,'运行记录'!$A$7:$A$150,0)),'特性清单'!$A$7:$A$18,0))="","",INDEX('特性清单'!$B$7:$B$18,MATCH(INDEX('运行记录'!$C$7:$C$150,MATCH(B15,'运行记录'!$A$7:$A$150,0)),'特性清单'!$A$7:$A$18,0))))</x:f>
      </x:c>
      <x:c r="E15" s="91"/>
      <x:c r="F15" s="91"/>
      <x:c r="G15" s="91"/>
      <x:c r="H15" s="91"/>
      <x:c r="I15" s="91"/>
      <x:c r="J15" s="91"/>
      <x:c r="K15" s="91"/>
      <x:c r="L15" s="91"/>
      <x:c r="M15" s="91"/>
      <x:c r="N15" s="91"/>
      <x:c r="O15" s="91"/>
      <x:c r="P15" s="89" t="str">
        <x:f>IF(COUNTA(B15)+COUNTA(E15:O15)+COUNTA(R15:S15)=0,"待反馈",IF(OR(COUNTIFS('运行记录'!$A$7:$A$150,B15)&lt;&gt;1,COUNTIFS($A$7:$A$150,A15)&lt;&gt;1),"ID无效或重复",IF(OR(D15="",E15="",F15=""),"待补齐场景",IF(AND(J15="未体验",K15="未体验"),"未体验",IF(OR(J15="未体验",K15="未体验"),"需核对未体验",IF(COUNTA(G15:M15)&lt;&gt;7,"待补齐关键内容","已反馈"))))))</x:f>
        <x:v>待反馈</x:v>
      </x:c>
      <x:c r="Q15" s="89" t="n">
        <x:f>IF(AND(P15="已反馈",O15&lt;&gt;""),1,0)</x:f>
        <x:v>0</x:v>
      </x:c>
      <x:c r="R15" s="91"/>
      <x:c r="S15" s="91"/>
      <x:c r="T15" s="89" t="n">
        <x:f>IF(AND(P15="已反馈",Q15=1,R15="已核对",S15&lt;&gt;""),1,0)</x:f>
        <x:v>0</x:v>
      </x:c>
    </x:row>
    <x:row r="16" ht="76" customHeight="1">
      <x:c r="A16" s="88" t="str">
        <x:v>FB010</x:v>
      </x:c>
      <x:c r="B16" s="86"/>
      <x:c r="C16" s="88" t="str">
        <x:f>IF(COUNTIFS('运行记录'!$A$7:$A$150,B16)=1,INDEX('运行记录'!$E$7:$E$150,MATCH(B16,'运行记录'!$A$7:$A$150,0)),"")</x:f>
      </x:c>
      <x:c r="D16" s="89" t="str">
        <x:f>IF(C16="","",IF(INDEX('特性清单'!$B$7:$B$18,MATCH(INDEX('运行记录'!$C$7:$C$150,MATCH(B16,'运行记录'!$A$7:$A$150,0)),'特性清单'!$A$7:$A$18,0))="","",INDEX('特性清单'!$B$7:$B$18,MATCH(INDEX('运行记录'!$C$7:$C$150,MATCH(B16,'运行记录'!$A$7:$A$150,0)),'特性清单'!$A$7:$A$18,0))))</x:f>
      </x:c>
      <x:c r="E16" s="91"/>
      <x:c r="F16" s="91"/>
      <x:c r="G16" s="91"/>
      <x:c r="H16" s="91"/>
      <x:c r="I16" s="91"/>
      <x:c r="J16" s="91"/>
      <x:c r="K16" s="91"/>
      <x:c r="L16" s="91"/>
      <x:c r="M16" s="91"/>
      <x:c r="N16" s="91"/>
      <x:c r="O16" s="91"/>
      <x:c r="P16" s="89" t="str">
        <x:f>IF(COUNTA(B16)+COUNTA(E16:O16)+COUNTA(R16:S16)=0,"待反馈",IF(OR(COUNTIFS('运行记录'!$A$7:$A$150,B16)&lt;&gt;1,COUNTIFS($A$7:$A$150,A16)&lt;&gt;1),"ID无效或重复",IF(OR(D16="",E16="",F16=""),"待补齐场景",IF(AND(J16="未体验",K16="未体验"),"未体验",IF(OR(J16="未体验",K16="未体验"),"需核对未体验",IF(COUNTA(G16:M16)&lt;&gt;7,"待补齐关键内容","已反馈"))))))</x:f>
        <x:v>待反馈</x:v>
      </x:c>
      <x:c r="Q16" s="89" t="n">
        <x:f>IF(AND(P16="已反馈",O16&lt;&gt;""),1,0)</x:f>
        <x:v>0</x:v>
      </x:c>
      <x:c r="R16" s="91"/>
      <x:c r="S16" s="91"/>
      <x:c r="T16" s="89" t="n">
        <x:f>IF(AND(P16="已反馈",Q16=1,R16="已核对",S16&lt;&gt;""),1,0)</x:f>
        <x:v>0</x:v>
      </x:c>
    </x:row>
    <x:row r="17" ht="76" customHeight="1">
      <x:c r="A17" s="88" t="str">
        <x:v>FB011</x:v>
      </x:c>
      <x:c r="B17" s="86"/>
      <x:c r="C17" s="88" t="str">
        <x:f>IF(COUNTIFS('运行记录'!$A$7:$A$150,B17)=1,INDEX('运行记录'!$E$7:$E$150,MATCH(B17,'运行记录'!$A$7:$A$150,0)),"")</x:f>
      </x:c>
      <x:c r="D17" s="89" t="str">
        <x:f>IF(C17="","",IF(INDEX('特性清单'!$B$7:$B$18,MATCH(INDEX('运行记录'!$C$7:$C$150,MATCH(B17,'运行记录'!$A$7:$A$150,0)),'特性清单'!$A$7:$A$18,0))="","",INDEX('特性清单'!$B$7:$B$18,MATCH(INDEX('运行记录'!$C$7:$C$150,MATCH(B17,'运行记录'!$A$7:$A$150,0)),'特性清单'!$A$7:$A$18,0))))</x:f>
      </x:c>
      <x:c r="E17" s="91"/>
      <x:c r="F17" s="91"/>
      <x:c r="G17" s="91"/>
      <x:c r="H17" s="91"/>
      <x:c r="I17" s="91"/>
      <x:c r="J17" s="91"/>
      <x:c r="K17" s="91"/>
      <x:c r="L17" s="91"/>
      <x:c r="M17" s="91"/>
      <x:c r="N17" s="91"/>
      <x:c r="O17" s="91"/>
      <x:c r="P17" s="89" t="str">
        <x:f>IF(COUNTA(B17)+COUNTA(E17:O17)+COUNTA(R17:S17)=0,"待反馈",IF(OR(COUNTIFS('运行记录'!$A$7:$A$150,B17)&lt;&gt;1,COUNTIFS($A$7:$A$150,A17)&lt;&gt;1),"ID无效或重复",IF(OR(D17="",E17="",F17=""),"待补齐场景",IF(AND(J17="未体验",K17="未体验"),"未体验",IF(OR(J17="未体验",K17="未体验"),"需核对未体验",IF(COUNTA(G17:M17)&lt;&gt;7,"待补齐关键内容","已反馈"))))))</x:f>
        <x:v>待反馈</x:v>
      </x:c>
      <x:c r="Q17" s="89" t="n">
        <x:f>IF(AND(P17="已反馈",O17&lt;&gt;""),1,0)</x:f>
        <x:v>0</x:v>
      </x:c>
      <x:c r="R17" s="91"/>
      <x:c r="S17" s="91"/>
      <x:c r="T17" s="89" t="n">
        <x:f>IF(AND(P17="已反馈",Q17=1,R17="已核对",S17&lt;&gt;""),1,0)</x:f>
        <x:v>0</x:v>
      </x:c>
    </x:row>
    <x:row r="18" ht="76" customHeight="1">
      <x:c r="A18" s="88" t="str">
        <x:v>FB012</x:v>
      </x:c>
      <x:c r="B18" s="86"/>
      <x:c r="C18" s="88" t="str">
        <x:f>IF(COUNTIFS('运行记录'!$A$7:$A$150,B18)=1,INDEX('运行记录'!$E$7:$E$150,MATCH(B18,'运行记录'!$A$7:$A$150,0)),"")</x:f>
      </x:c>
      <x:c r="D18" s="89" t="str">
        <x:f>IF(C18="","",IF(INDEX('特性清单'!$B$7:$B$18,MATCH(INDEX('运行记录'!$C$7:$C$150,MATCH(B18,'运行记录'!$A$7:$A$150,0)),'特性清单'!$A$7:$A$18,0))="","",INDEX('特性清单'!$B$7:$B$18,MATCH(INDEX('运行记录'!$C$7:$C$150,MATCH(B18,'运行记录'!$A$7:$A$150,0)),'特性清单'!$A$7:$A$18,0))))</x:f>
      </x:c>
      <x:c r="E18" s="91"/>
      <x:c r="F18" s="91"/>
      <x:c r="G18" s="91"/>
      <x:c r="H18" s="91"/>
      <x:c r="I18" s="91"/>
      <x:c r="J18" s="91"/>
      <x:c r="K18" s="91"/>
      <x:c r="L18" s="91"/>
      <x:c r="M18" s="91"/>
      <x:c r="N18" s="91"/>
      <x:c r="O18" s="91"/>
      <x:c r="P18" s="89" t="str">
        <x:f>IF(COUNTA(B18)+COUNTA(E18:O18)+COUNTA(R18:S18)=0,"待反馈",IF(OR(COUNTIFS('运行记录'!$A$7:$A$150,B18)&lt;&gt;1,COUNTIFS($A$7:$A$150,A18)&lt;&gt;1),"ID无效或重复",IF(OR(D18="",E18="",F18=""),"待补齐场景",IF(AND(J18="未体验",K18="未体验"),"未体验",IF(OR(J18="未体验",K18="未体验"),"需核对未体验",IF(COUNTA(G18:M18)&lt;&gt;7,"待补齐关键内容","已反馈"))))))</x:f>
        <x:v>待反馈</x:v>
      </x:c>
      <x:c r="Q18" s="89" t="n">
        <x:f>IF(AND(P18="已反馈",O18&lt;&gt;""),1,0)</x:f>
        <x:v>0</x:v>
      </x:c>
      <x:c r="R18" s="91"/>
      <x:c r="S18" s="91"/>
      <x:c r="T18" s="89" t="n">
        <x:f>IF(AND(P18="已反馈",Q18=1,R18="已核对",S18&lt;&gt;""),1,0)</x:f>
        <x:v>0</x:v>
      </x:c>
    </x:row>
    <x:row r="19" ht="76" customHeight="1">
      <x:c r="A19" s="88" t="str">
        <x:v>FB013</x:v>
      </x:c>
      <x:c r="B19" s="86"/>
      <x:c r="C19" s="88" t="str">
        <x:f>IF(COUNTIFS('运行记录'!$A$7:$A$150,B19)=1,INDEX('运行记录'!$E$7:$E$150,MATCH(B19,'运行记录'!$A$7:$A$150,0)),"")</x:f>
      </x:c>
      <x:c r="D19" s="89" t="str">
        <x:f>IF(C19="","",IF(INDEX('特性清单'!$B$7:$B$18,MATCH(INDEX('运行记录'!$C$7:$C$150,MATCH(B19,'运行记录'!$A$7:$A$150,0)),'特性清单'!$A$7:$A$18,0))="","",INDEX('特性清单'!$B$7:$B$18,MATCH(INDEX('运行记录'!$C$7:$C$150,MATCH(B19,'运行记录'!$A$7:$A$150,0)),'特性清单'!$A$7:$A$18,0))))</x:f>
      </x:c>
      <x:c r="E19" s="91"/>
      <x:c r="F19" s="91"/>
      <x:c r="G19" s="91"/>
      <x:c r="H19" s="91"/>
      <x:c r="I19" s="91"/>
      <x:c r="J19" s="91"/>
      <x:c r="K19" s="91"/>
      <x:c r="L19" s="91"/>
      <x:c r="M19" s="91"/>
      <x:c r="N19" s="91"/>
      <x:c r="O19" s="91"/>
      <x:c r="P19" s="89" t="str">
        <x:f>IF(COUNTA(B19)+COUNTA(E19:O19)+COUNTA(R19:S19)=0,"待反馈",IF(OR(COUNTIFS('运行记录'!$A$7:$A$150,B19)&lt;&gt;1,COUNTIFS($A$7:$A$150,A19)&lt;&gt;1),"ID无效或重复",IF(OR(D19="",E19="",F19=""),"待补齐场景",IF(AND(J19="未体验",K19="未体验"),"未体验",IF(OR(J19="未体验",K19="未体验"),"需核对未体验",IF(COUNTA(G19:M19)&lt;&gt;7,"待补齐关键内容","已反馈"))))))</x:f>
        <x:v>待反馈</x:v>
      </x:c>
      <x:c r="Q19" s="89" t="n">
        <x:f>IF(AND(P19="已反馈",O19&lt;&gt;""),1,0)</x:f>
        <x:v>0</x:v>
      </x:c>
      <x:c r="R19" s="91"/>
      <x:c r="S19" s="91"/>
      <x:c r="T19" s="89" t="n">
        <x:f>IF(AND(P19="已反馈",Q19=1,R19="已核对",S19&lt;&gt;""),1,0)</x:f>
        <x:v>0</x:v>
      </x:c>
    </x:row>
    <x:row r="20" ht="76" customHeight="1">
      <x:c r="A20" s="88" t="str">
        <x:v>FB014</x:v>
      </x:c>
      <x:c r="B20" s="86"/>
      <x:c r="C20" s="88" t="str">
        <x:f>IF(COUNTIFS('运行记录'!$A$7:$A$150,B20)=1,INDEX('运行记录'!$E$7:$E$150,MATCH(B20,'运行记录'!$A$7:$A$150,0)),"")</x:f>
      </x:c>
      <x:c r="D20" s="89" t="str">
        <x:f>IF(C20="","",IF(INDEX('特性清单'!$B$7:$B$18,MATCH(INDEX('运行记录'!$C$7:$C$150,MATCH(B20,'运行记录'!$A$7:$A$150,0)),'特性清单'!$A$7:$A$18,0))="","",INDEX('特性清单'!$B$7:$B$18,MATCH(INDEX('运行记录'!$C$7:$C$150,MATCH(B20,'运行记录'!$A$7:$A$150,0)),'特性清单'!$A$7:$A$18,0))))</x:f>
      </x:c>
      <x:c r="E20" s="91"/>
      <x:c r="F20" s="91"/>
      <x:c r="G20" s="91"/>
      <x:c r="H20" s="91"/>
      <x:c r="I20" s="91"/>
      <x:c r="J20" s="91"/>
      <x:c r="K20" s="91"/>
      <x:c r="L20" s="91"/>
      <x:c r="M20" s="91"/>
      <x:c r="N20" s="91"/>
      <x:c r="O20" s="91"/>
      <x:c r="P20" s="89" t="str">
        <x:f>IF(COUNTA(B20)+COUNTA(E20:O20)+COUNTA(R20:S20)=0,"待反馈",IF(OR(COUNTIFS('运行记录'!$A$7:$A$150,B20)&lt;&gt;1,COUNTIFS($A$7:$A$150,A20)&lt;&gt;1),"ID无效或重复",IF(OR(D20="",E20="",F20=""),"待补齐场景",IF(AND(J20="未体验",K20="未体验"),"未体验",IF(OR(J20="未体验",K20="未体验"),"需核对未体验",IF(COUNTA(G20:M20)&lt;&gt;7,"待补齐关键内容","已反馈"))))))</x:f>
        <x:v>待反馈</x:v>
      </x:c>
      <x:c r="Q20" s="89" t="n">
        <x:f>IF(AND(P20="已反馈",O20&lt;&gt;""),1,0)</x:f>
        <x:v>0</x:v>
      </x:c>
      <x:c r="R20" s="91"/>
      <x:c r="S20" s="91"/>
      <x:c r="T20" s="89" t="n">
        <x:f>IF(AND(P20="已反馈",Q20=1,R20="已核对",S20&lt;&gt;""),1,0)</x:f>
        <x:v>0</x:v>
      </x:c>
    </x:row>
    <x:row r="21" ht="76" customHeight="1">
      <x:c r="A21" s="88" t="str">
        <x:v>FB015</x:v>
      </x:c>
      <x:c r="B21" s="86"/>
      <x:c r="C21" s="88" t="str">
        <x:f>IF(COUNTIFS('运行记录'!$A$7:$A$150,B21)=1,INDEX('运行记录'!$E$7:$E$150,MATCH(B21,'运行记录'!$A$7:$A$150,0)),"")</x:f>
      </x:c>
      <x:c r="D21" s="89" t="str">
        <x:f>IF(C21="","",IF(INDEX('特性清单'!$B$7:$B$18,MATCH(INDEX('运行记录'!$C$7:$C$150,MATCH(B21,'运行记录'!$A$7:$A$150,0)),'特性清单'!$A$7:$A$18,0))="","",INDEX('特性清单'!$B$7:$B$18,MATCH(INDEX('运行记录'!$C$7:$C$150,MATCH(B21,'运行记录'!$A$7:$A$150,0)),'特性清单'!$A$7:$A$18,0))))</x:f>
      </x:c>
      <x:c r="E21" s="91"/>
      <x:c r="F21" s="91"/>
      <x:c r="G21" s="91"/>
      <x:c r="H21" s="91"/>
      <x:c r="I21" s="91"/>
      <x:c r="J21" s="91"/>
      <x:c r="K21" s="91"/>
      <x:c r="L21" s="91"/>
      <x:c r="M21" s="91"/>
      <x:c r="N21" s="91"/>
      <x:c r="O21" s="91"/>
      <x:c r="P21" s="89" t="str">
        <x:f>IF(COUNTA(B21)+COUNTA(E21:O21)+COUNTA(R21:S21)=0,"待反馈",IF(OR(COUNTIFS('运行记录'!$A$7:$A$150,B21)&lt;&gt;1,COUNTIFS($A$7:$A$150,A21)&lt;&gt;1),"ID无效或重复",IF(OR(D21="",E21="",F21=""),"待补齐场景",IF(AND(J21="未体验",K21="未体验"),"未体验",IF(OR(J21="未体验",K21="未体验"),"需核对未体验",IF(COUNTA(G21:M21)&lt;&gt;7,"待补齐关键内容","已反馈"))))))</x:f>
        <x:v>待反馈</x:v>
      </x:c>
      <x:c r="Q21" s="89" t="n">
        <x:f>IF(AND(P21="已反馈",O21&lt;&gt;""),1,0)</x:f>
        <x:v>0</x:v>
      </x:c>
      <x:c r="R21" s="91"/>
      <x:c r="S21" s="91"/>
      <x:c r="T21" s="89" t="n">
        <x:f>IF(AND(P21="已反馈",Q21=1,R21="已核对",S21&lt;&gt;""),1,0)</x:f>
        <x:v>0</x:v>
      </x:c>
    </x:row>
    <x:row r="22" ht="76" customHeight="1">
      <x:c r="A22" s="88" t="str">
        <x:v>FB016</x:v>
      </x:c>
      <x:c r="B22" s="86"/>
      <x:c r="C22" s="88" t="str">
        <x:f>IF(COUNTIFS('运行记录'!$A$7:$A$150,B22)=1,INDEX('运行记录'!$E$7:$E$150,MATCH(B22,'运行记录'!$A$7:$A$150,0)),"")</x:f>
      </x:c>
      <x:c r="D22" s="89" t="str">
        <x:f>IF(C22="","",IF(INDEX('特性清单'!$B$7:$B$18,MATCH(INDEX('运行记录'!$C$7:$C$150,MATCH(B22,'运行记录'!$A$7:$A$150,0)),'特性清单'!$A$7:$A$18,0))="","",INDEX('特性清单'!$B$7:$B$18,MATCH(INDEX('运行记录'!$C$7:$C$150,MATCH(B22,'运行记录'!$A$7:$A$150,0)),'特性清单'!$A$7:$A$18,0))))</x:f>
      </x:c>
      <x:c r="E22" s="91"/>
      <x:c r="F22" s="91"/>
      <x:c r="G22" s="91"/>
      <x:c r="H22" s="91"/>
      <x:c r="I22" s="91"/>
      <x:c r="J22" s="91"/>
      <x:c r="K22" s="91"/>
      <x:c r="L22" s="91"/>
      <x:c r="M22" s="91"/>
      <x:c r="N22" s="91"/>
      <x:c r="O22" s="91"/>
      <x:c r="P22" s="89" t="str">
        <x:f>IF(COUNTA(B22)+COUNTA(E22:O22)+COUNTA(R22:S22)=0,"待反馈",IF(OR(COUNTIFS('运行记录'!$A$7:$A$150,B22)&lt;&gt;1,COUNTIFS($A$7:$A$150,A22)&lt;&gt;1),"ID无效或重复",IF(OR(D22="",E22="",F22=""),"待补齐场景",IF(AND(J22="未体验",K22="未体验"),"未体验",IF(OR(J22="未体验",K22="未体验"),"需核对未体验",IF(COUNTA(G22:M22)&lt;&gt;7,"待补齐关键内容","已反馈"))))))</x:f>
        <x:v>待反馈</x:v>
      </x:c>
      <x:c r="Q22" s="89" t="n">
        <x:f>IF(AND(P22="已反馈",O22&lt;&gt;""),1,0)</x:f>
        <x:v>0</x:v>
      </x:c>
      <x:c r="R22" s="91"/>
      <x:c r="S22" s="91"/>
      <x:c r="T22" s="89" t="n">
        <x:f>IF(AND(P22="已反馈",Q22=1,R22="已核对",S22&lt;&gt;""),1,0)</x:f>
        <x:v>0</x:v>
      </x:c>
    </x:row>
    <x:row r="23" ht="76" customHeight="1">
      <x:c r="A23" s="88" t="str">
        <x:v>FB017</x:v>
      </x:c>
      <x:c r="B23" s="86"/>
      <x:c r="C23" s="88" t="str">
        <x:f>IF(COUNTIFS('运行记录'!$A$7:$A$150,B23)=1,INDEX('运行记录'!$E$7:$E$150,MATCH(B23,'运行记录'!$A$7:$A$150,0)),"")</x:f>
      </x:c>
      <x:c r="D23" s="89" t="str">
        <x:f>IF(C23="","",IF(INDEX('特性清单'!$B$7:$B$18,MATCH(INDEX('运行记录'!$C$7:$C$150,MATCH(B23,'运行记录'!$A$7:$A$150,0)),'特性清单'!$A$7:$A$18,0))="","",INDEX('特性清单'!$B$7:$B$18,MATCH(INDEX('运行记录'!$C$7:$C$150,MATCH(B23,'运行记录'!$A$7:$A$150,0)),'特性清单'!$A$7:$A$18,0))))</x:f>
      </x:c>
      <x:c r="E23" s="91"/>
      <x:c r="F23" s="91"/>
      <x:c r="G23" s="91"/>
      <x:c r="H23" s="91"/>
      <x:c r="I23" s="91"/>
      <x:c r="J23" s="91"/>
      <x:c r="K23" s="91"/>
      <x:c r="L23" s="91"/>
      <x:c r="M23" s="91"/>
      <x:c r="N23" s="91"/>
      <x:c r="O23" s="91"/>
      <x:c r="P23" s="89" t="str">
        <x:f>IF(COUNTA(B23)+COUNTA(E23:O23)+COUNTA(R23:S23)=0,"待反馈",IF(OR(COUNTIFS('运行记录'!$A$7:$A$150,B23)&lt;&gt;1,COUNTIFS($A$7:$A$150,A23)&lt;&gt;1),"ID无效或重复",IF(OR(D23="",E23="",F23=""),"待补齐场景",IF(AND(J23="未体验",K23="未体验"),"未体验",IF(OR(J23="未体验",K23="未体验"),"需核对未体验",IF(COUNTA(G23:M23)&lt;&gt;7,"待补齐关键内容","已反馈"))))))</x:f>
        <x:v>待反馈</x:v>
      </x:c>
      <x:c r="Q23" s="89" t="n">
        <x:f>IF(AND(P23="已反馈",O23&lt;&gt;""),1,0)</x:f>
        <x:v>0</x:v>
      </x:c>
      <x:c r="R23" s="91"/>
      <x:c r="S23" s="91"/>
      <x:c r="T23" s="89" t="n">
        <x:f>IF(AND(P23="已反馈",Q23=1,R23="已核对",S23&lt;&gt;""),1,0)</x:f>
        <x:v>0</x:v>
      </x:c>
    </x:row>
    <x:row r="24" ht="76" customHeight="1">
      <x:c r="A24" s="88" t="str">
        <x:v>FB018</x:v>
      </x:c>
      <x:c r="B24" s="86"/>
      <x:c r="C24" s="88" t="str">
        <x:f>IF(COUNTIFS('运行记录'!$A$7:$A$150,B24)=1,INDEX('运行记录'!$E$7:$E$150,MATCH(B24,'运行记录'!$A$7:$A$150,0)),"")</x:f>
      </x:c>
      <x:c r="D24" s="89" t="str">
        <x:f>IF(C24="","",IF(INDEX('特性清单'!$B$7:$B$18,MATCH(INDEX('运行记录'!$C$7:$C$150,MATCH(B24,'运行记录'!$A$7:$A$150,0)),'特性清单'!$A$7:$A$18,0))="","",INDEX('特性清单'!$B$7:$B$18,MATCH(INDEX('运行记录'!$C$7:$C$150,MATCH(B24,'运行记录'!$A$7:$A$150,0)),'特性清单'!$A$7:$A$18,0))))</x:f>
      </x:c>
      <x:c r="E24" s="91"/>
      <x:c r="F24" s="91"/>
      <x:c r="G24" s="91"/>
      <x:c r="H24" s="91"/>
      <x:c r="I24" s="91"/>
      <x:c r="J24" s="91"/>
      <x:c r="K24" s="91"/>
      <x:c r="L24" s="91"/>
      <x:c r="M24" s="91"/>
      <x:c r="N24" s="91"/>
      <x:c r="O24" s="91"/>
      <x:c r="P24" s="89" t="str">
        <x:f>IF(COUNTA(B24)+COUNTA(E24:O24)+COUNTA(R24:S24)=0,"待反馈",IF(OR(COUNTIFS('运行记录'!$A$7:$A$150,B24)&lt;&gt;1,COUNTIFS($A$7:$A$150,A24)&lt;&gt;1),"ID无效或重复",IF(OR(D24="",E24="",F24=""),"待补齐场景",IF(AND(J24="未体验",K24="未体验"),"未体验",IF(OR(J24="未体验",K24="未体验"),"需核对未体验",IF(COUNTA(G24:M24)&lt;&gt;7,"待补齐关键内容","已反馈"))))))</x:f>
        <x:v>待反馈</x:v>
      </x:c>
      <x:c r="Q24" s="89" t="n">
        <x:f>IF(AND(P24="已反馈",O24&lt;&gt;""),1,0)</x:f>
        <x:v>0</x:v>
      </x:c>
      <x:c r="R24" s="91"/>
      <x:c r="S24" s="91"/>
      <x:c r="T24" s="89" t="n">
        <x:f>IF(AND(P24="已反馈",Q24=1,R24="已核对",S24&lt;&gt;""),1,0)</x:f>
        <x:v>0</x:v>
      </x:c>
    </x:row>
    <x:row r="25" ht="76" customHeight="1">
      <x:c r="A25" s="88" t="str">
        <x:v>FB019</x:v>
      </x:c>
      <x:c r="B25" s="86"/>
      <x:c r="C25" s="88" t="str">
        <x:f>IF(COUNTIFS('运行记录'!$A$7:$A$150,B25)=1,INDEX('运行记录'!$E$7:$E$150,MATCH(B25,'运行记录'!$A$7:$A$150,0)),"")</x:f>
      </x:c>
      <x:c r="D25" s="89" t="str">
        <x:f>IF(C25="","",IF(INDEX('特性清单'!$B$7:$B$18,MATCH(INDEX('运行记录'!$C$7:$C$150,MATCH(B25,'运行记录'!$A$7:$A$150,0)),'特性清单'!$A$7:$A$18,0))="","",INDEX('特性清单'!$B$7:$B$18,MATCH(INDEX('运行记录'!$C$7:$C$150,MATCH(B25,'运行记录'!$A$7:$A$150,0)),'特性清单'!$A$7:$A$18,0))))</x:f>
      </x:c>
      <x:c r="E25" s="91"/>
      <x:c r="F25" s="91"/>
      <x:c r="G25" s="91"/>
      <x:c r="H25" s="91"/>
      <x:c r="I25" s="91"/>
      <x:c r="J25" s="91"/>
      <x:c r="K25" s="91"/>
      <x:c r="L25" s="91"/>
      <x:c r="M25" s="91"/>
      <x:c r="N25" s="91"/>
      <x:c r="O25" s="91"/>
      <x:c r="P25" s="89" t="str">
        <x:f>IF(COUNTA(B25)+COUNTA(E25:O25)+COUNTA(R25:S25)=0,"待反馈",IF(OR(COUNTIFS('运行记录'!$A$7:$A$150,B25)&lt;&gt;1,COUNTIFS($A$7:$A$150,A25)&lt;&gt;1),"ID无效或重复",IF(OR(D25="",E25="",F25=""),"待补齐场景",IF(AND(J25="未体验",K25="未体验"),"未体验",IF(OR(J25="未体验",K25="未体验"),"需核对未体验",IF(COUNTA(G25:M25)&lt;&gt;7,"待补齐关键内容","已反馈"))))))</x:f>
        <x:v>待反馈</x:v>
      </x:c>
      <x:c r="Q25" s="89" t="n">
        <x:f>IF(AND(P25="已反馈",O25&lt;&gt;""),1,0)</x:f>
        <x:v>0</x:v>
      </x:c>
      <x:c r="R25" s="91"/>
      <x:c r="S25" s="91"/>
      <x:c r="T25" s="89" t="n">
        <x:f>IF(AND(P25="已反馈",Q25=1,R25="已核对",S25&lt;&gt;""),1,0)</x:f>
        <x:v>0</x:v>
      </x:c>
    </x:row>
    <x:row r="26" ht="76" customHeight="1">
      <x:c r="A26" s="88" t="str">
        <x:v>FB020</x:v>
      </x:c>
      <x:c r="B26" s="86"/>
      <x:c r="C26" s="88" t="str">
        <x:f>IF(COUNTIFS('运行记录'!$A$7:$A$150,B26)=1,INDEX('运行记录'!$E$7:$E$150,MATCH(B26,'运行记录'!$A$7:$A$150,0)),"")</x:f>
      </x:c>
      <x:c r="D26" s="89" t="str">
        <x:f>IF(C26="","",IF(INDEX('特性清单'!$B$7:$B$18,MATCH(INDEX('运行记录'!$C$7:$C$150,MATCH(B26,'运行记录'!$A$7:$A$150,0)),'特性清单'!$A$7:$A$18,0))="","",INDEX('特性清单'!$B$7:$B$18,MATCH(INDEX('运行记录'!$C$7:$C$150,MATCH(B26,'运行记录'!$A$7:$A$150,0)),'特性清单'!$A$7:$A$18,0))))</x:f>
      </x:c>
      <x:c r="E26" s="91"/>
      <x:c r="F26" s="91"/>
      <x:c r="G26" s="91"/>
      <x:c r="H26" s="91"/>
      <x:c r="I26" s="91"/>
      <x:c r="J26" s="91"/>
      <x:c r="K26" s="91"/>
      <x:c r="L26" s="91"/>
      <x:c r="M26" s="91"/>
      <x:c r="N26" s="91"/>
      <x:c r="O26" s="91"/>
      <x:c r="P26" s="89" t="str">
        <x:f>IF(COUNTA(B26)+COUNTA(E26:O26)+COUNTA(R26:S26)=0,"待反馈",IF(OR(COUNTIFS('运行记录'!$A$7:$A$150,B26)&lt;&gt;1,COUNTIFS($A$7:$A$150,A26)&lt;&gt;1),"ID无效或重复",IF(OR(D26="",E26="",F26=""),"待补齐场景",IF(AND(J26="未体验",K26="未体验"),"未体验",IF(OR(J26="未体验",K26="未体验"),"需核对未体验",IF(COUNTA(G26:M26)&lt;&gt;7,"待补齐关键内容","已反馈"))))))</x:f>
        <x:v>待反馈</x:v>
      </x:c>
      <x:c r="Q26" s="89" t="n">
        <x:f>IF(AND(P26="已反馈",O26&lt;&gt;""),1,0)</x:f>
        <x:v>0</x:v>
      </x:c>
      <x:c r="R26" s="91"/>
      <x:c r="S26" s="91"/>
      <x:c r="T26" s="89" t="n">
        <x:f>IF(AND(P26="已反馈",Q26=1,R26="已核对",S26&lt;&gt;""),1,0)</x:f>
        <x:v>0</x:v>
      </x:c>
    </x:row>
    <x:row r="27" ht="76" customHeight="1">
      <x:c r="A27" s="88" t="str">
        <x:v>FB021</x:v>
      </x:c>
      <x:c r="B27" s="86"/>
      <x:c r="C27" s="88" t="str">
        <x:f>IF(COUNTIFS('运行记录'!$A$7:$A$150,B27)=1,INDEX('运行记录'!$E$7:$E$150,MATCH(B27,'运行记录'!$A$7:$A$150,0)),"")</x:f>
      </x:c>
      <x:c r="D27" s="89" t="str">
        <x:f>IF(C27="","",IF(INDEX('特性清单'!$B$7:$B$18,MATCH(INDEX('运行记录'!$C$7:$C$150,MATCH(B27,'运行记录'!$A$7:$A$150,0)),'特性清单'!$A$7:$A$18,0))="","",INDEX('特性清单'!$B$7:$B$18,MATCH(INDEX('运行记录'!$C$7:$C$150,MATCH(B27,'运行记录'!$A$7:$A$150,0)),'特性清单'!$A$7:$A$18,0))))</x:f>
      </x:c>
      <x:c r="E27" s="91"/>
      <x:c r="F27" s="91"/>
      <x:c r="G27" s="91"/>
      <x:c r="H27" s="91"/>
      <x:c r="I27" s="91"/>
      <x:c r="J27" s="91"/>
      <x:c r="K27" s="91"/>
      <x:c r="L27" s="91"/>
      <x:c r="M27" s="91"/>
      <x:c r="N27" s="91"/>
      <x:c r="O27" s="91"/>
      <x:c r="P27" s="89" t="str">
        <x:f>IF(COUNTA(B27)+COUNTA(E27:O27)+COUNTA(R27:S27)=0,"待反馈",IF(OR(COUNTIFS('运行记录'!$A$7:$A$150,B27)&lt;&gt;1,COUNTIFS($A$7:$A$150,A27)&lt;&gt;1),"ID无效或重复",IF(OR(D27="",E27="",F27=""),"待补齐场景",IF(AND(J27="未体验",K27="未体验"),"未体验",IF(OR(J27="未体验",K27="未体验"),"需核对未体验",IF(COUNTA(G27:M27)&lt;&gt;7,"待补齐关键内容","已反馈"))))))</x:f>
        <x:v>待反馈</x:v>
      </x:c>
      <x:c r="Q27" s="89" t="n">
        <x:f>IF(AND(P27="已反馈",O27&lt;&gt;""),1,0)</x:f>
        <x:v>0</x:v>
      </x:c>
      <x:c r="R27" s="91"/>
      <x:c r="S27" s="91"/>
      <x:c r="T27" s="89" t="n">
        <x:f>IF(AND(P27="已反馈",Q27=1,R27="已核对",S27&lt;&gt;""),1,0)</x:f>
        <x:v>0</x:v>
      </x:c>
    </x:row>
    <x:row r="28" ht="76" customHeight="1">
      <x:c r="A28" s="88" t="str">
        <x:v>FB022</x:v>
      </x:c>
      <x:c r="B28" s="86"/>
      <x:c r="C28" s="88" t="str">
        <x:f>IF(COUNTIFS('运行记录'!$A$7:$A$150,B28)=1,INDEX('运行记录'!$E$7:$E$150,MATCH(B28,'运行记录'!$A$7:$A$150,0)),"")</x:f>
      </x:c>
      <x:c r="D28" s="89" t="str">
        <x:f>IF(C28="","",IF(INDEX('特性清单'!$B$7:$B$18,MATCH(INDEX('运行记录'!$C$7:$C$150,MATCH(B28,'运行记录'!$A$7:$A$150,0)),'特性清单'!$A$7:$A$18,0))="","",INDEX('特性清单'!$B$7:$B$18,MATCH(INDEX('运行记录'!$C$7:$C$150,MATCH(B28,'运行记录'!$A$7:$A$150,0)),'特性清单'!$A$7:$A$18,0))))</x:f>
      </x:c>
      <x:c r="E28" s="91"/>
      <x:c r="F28" s="91"/>
      <x:c r="G28" s="91"/>
      <x:c r="H28" s="91"/>
      <x:c r="I28" s="91"/>
      <x:c r="J28" s="91"/>
      <x:c r="K28" s="91"/>
      <x:c r="L28" s="91"/>
      <x:c r="M28" s="91"/>
      <x:c r="N28" s="91"/>
      <x:c r="O28" s="91"/>
      <x:c r="P28" s="89" t="str">
        <x:f>IF(COUNTA(B28)+COUNTA(E28:O28)+COUNTA(R28:S28)=0,"待反馈",IF(OR(COUNTIFS('运行记录'!$A$7:$A$150,B28)&lt;&gt;1,COUNTIFS($A$7:$A$150,A28)&lt;&gt;1),"ID无效或重复",IF(OR(D28="",E28="",F28=""),"待补齐场景",IF(AND(J28="未体验",K28="未体验"),"未体验",IF(OR(J28="未体验",K28="未体验"),"需核对未体验",IF(COUNTA(G28:M28)&lt;&gt;7,"待补齐关键内容","已反馈"))))))</x:f>
        <x:v>待反馈</x:v>
      </x:c>
      <x:c r="Q28" s="89" t="n">
        <x:f>IF(AND(P28="已反馈",O28&lt;&gt;""),1,0)</x:f>
        <x:v>0</x:v>
      </x:c>
      <x:c r="R28" s="91"/>
      <x:c r="S28" s="91"/>
      <x:c r="T28" s="89" t="n">
        <x:f>IF(AND(P28="已反馈",Q28=1,R28="已核对",S28&lt;&gt;""),1,0)</x:f>
        <x:v>0</x:v>
      </x:c>
    </x:row>
    <x:row r="29" ht="76" customHeight="1">
      <x:c r="A29" s="88" t="str">
        <x:v>FB023</x:v>
      </x:c>
      <x:c r="B29" s="86"/>
      <x:c r="C29" s="88" t="str">
        <x:f>IF(COUNTIFS('运行记录'!$A$7:$A$150,B29)=1,INDEX('运行记录'!$E$7:$E$150,MATCH(B29,'运行记录'!$A$7:$A$150,0)),"")</x:f>
      </x:c>
      <x:c r="D29" s="89" t="str">
        <x:f>IF(C29="","",IF(INDEX('特性清单'!$B$7:$B$18,MATCH(INDEX('运行记录'!$C$7:$C$150,MATCH(B29,'运行记录'!$A$7:$A$150,0)),'特性清单'!$A$7:$A$18,0))="","",INDEX('特性清单'!$B$7:$B$18,MATCH(INDEX('运行记录'!$C$7:$C$150,MATCH(B29,'运行记录'!$A$7:$A$150,0)),'特性清单'!$A$7:$A$18,0))))</x:f>
      </x:c>
      <x:c r="E29" s="91"/>
      <x:c r="F29" s="91"/>
      <x:c r="G29" s="91"/>
      <x:c r="H29" s="91"/>
      <x:c r="I29" s="91"/>
      <x:c r="J29" s="91"/>
      <x:c r="K29" s="91"/>
      <x:c r="L29" s="91"/>
      <x:c r="M29" s="91"/>
      <x:c r="N29" s="91"/>
      <x:c r="O29" s="91"/>
      <x:c r="P29" s="89" t="str">
        <x:f>IF(COUNTA(B29)+COUNTA(E29:O29)+COUNTA(R29:S29)=0,"待反馈",IF(OR(COUNTIFS('运行记录'!$A$7:$A$150,B29)&lt;&gt;1,COUNTIFS($A$7:$A$150,A29)&lt;&gt;1),"ID无效或重复",IF(OR(D29="",E29="",F29=""),"待补齐场景",IF(AND(J29="未体验",K29="未体验"),"未体验",IF(OR(J29="未体验",K29="未体验"),"需核对未体验",IF(COUNTA(G29:M29)&lt;&gt;7,"待补齐关键内容","已反馈"))))))</x:f>
        <x:v>待反馈</x:v>
      </x:c>
      <x:c r="Q29" s="89" t="n">
        <x:f>IF(AND(P29="已反馈",O29&lt;&gt;""),1,0)</x:f>
        <x:v>0</x:v>
      </x:c>
      <x:c r="R29" s="91"/>
      <x:c r="S29" s="91"/>
      <x:c r="T29" s="89" t="n">
        <x:f>IF(AND(P29="已反馈",Q29=1,R29="已核对",S29&lt;&gt;""),1,0)</x:f>
        <x:v>0</x:v>
      </x:c>
    </x:row>
    <x:row r="30" ht="76" customHeight="1">
      <x:c r="A30" s="88" t="str">
        <x:v>FB024</x:v>
      </x:c>
      <x:c r="B30" s="86"/>
      <x:c r="C30" s="88" t="str">
        <x:f>IF(COUNTIFS('运行记录'!$A$7:$A$150,B30)=1,INDEX('运行记录'!$E$7:$E$150,MATCH(B30,'运行记录'!$A$7:$A$150,0)),"")</x:f>
      </x:c>
      <x:c r="D30" s="89" t="str">
        <x:f>IF(C30="","",IF(INDEX('特性清单'!$B$7:$B$18,MATCH(INDEX('运行记录'!$C$7:$C$150,MATCH(B30,'运行记录'!$A$7:$A$150,0)),'特性清单'!$A$7:$A$18,0))="","",INDEX('特性清单'!$B$7:$B$18,MATCH(INDEX('运行记录'!$C$7:$C$150,MATCH(B30,'运行记录'!$A$7:$A$150,0)),'特性清单'!$A$7:$A$18,0))))</x:f>
      </x:c>
      <x:c r="E30" s="91"/>
      <x:c r="F30" s="91"/>
      <x:c r="G30" s="91"/>
      <x:c r="H30" s="91"/>
      <x:c r="I30" s="91"/>
      <x:c r="J30" s="91"/>
      <x:c r="K30" s="91"/>
      <x:c r="L30" s="91"/>
      <x:c r="M30" s="91"/>
      <x:c r="N30" s="91"/>
      <x:c r="O30" s="91"/>
      <x:c r="P30" s="89" t="str">
        <x:f>IF(COUNTA(B30)+COUNTA(E30:O30)+COUNTA(R30:S30)=0,"待反馈",IF(OR(COUNTIFS('运行记录'!$A$7:$A$150,B30)&lt;&gt;1,COUNTIFS($A$7:$A$150,A30)&lt;&gt;1),"ID无效或重复",IF(OR(D30="",E30="",F30=""),"待补齐场景",IF(AND(J30="未体验",K30="未体验"),"未体验",IF(OR(J30="未体验",K30="未体验"),"需核对未体验",IF(COUNTA(G30:M30)&lt;&gt;7,"待补齐关键内容","已反馈"))))))</x:f>
        <x:v>待反馈</x:v>
      </x:c>
      <x:c r="Q30" s="89" t="n">
        <x:f>IF(AND(P30="已反馈",O30&lt;&gt;""),1,0)</x:f>
        <x:v>0</x:v>
      </x:c>
      <x:c r="R30" s="91"/>
      <x:c r="S30" s="91"/>
      <x:c r="T30" s="89" t="n">
        <x:f>IF(AND(P30="已反馈",Q30=1,R30="已核对",S30&lt;&gt;""),1,0)</x:f>
        <x:v>0</x:v>
      </x:c>
    </x:row>
    <x:row r="31" ht="76" customHeight="1">
      <x:c r="A31" s="88" t="str">
        <x:v>FB025</x:v>
      </x:c>
      <x:c r="B31" s="86"/>
      <x:c r="C31" s="88" t="str">
        <x:f>IF(COUNTIFS('运行记录'!$A$7:$A$150,B31)=1,INDEX('运行记录'!$E$7:$E$150,MATCH(B31,'运行记录'!$A$7:$A$150,0)),"")</x:f>
      </x:c>
      <x:c r="D31" s="89" t="str">
        <x:f>IF(C31="","",IF(INDEX('特性清单'!$B$7:$B$18,MATCH(INDEX('运行记录'!$C$7:$C$150,MATCH(B31,'运行记录'!$A$7:$A$150,0)),'特性清单'!$A$7:$A$18,0))="","",INDEX('特性清单'!$B$7:$B$18,MATCH(INDEX('运行记录'!$C$7:$C$150,MATCH(B31,'运行记录'!$A$7:$A$150,0)),'特性清单'!$A$7:$A$18,0))))</x:f>
      </x:c>
      <x:c r="E31" s="91"/>
      <x:c r="F31" s="91"/>
      <x:c r="G31" s="91"/>
      <x:c r="H31" s="91"/>
      <x:c r="I31" s="91"/>
      <x:c r="J31" s="91"/>
      <x:c r="K31" s="91"/>
      <x:c r="L31" s="91"/>
      <x:c r="M31" s="91"/>
      <x:c r="N31" s="91"/>
      <x:c r="O31" s="91"/>
      <x:c r="P31" s="89" t="str">
        <x:f>IF(COUNTA(B31)+COUNTA(E31:O31)+COUNTA(R31:S31)=0,"待反馈",IF(OR(COUNTIFS('运行记录'!$A$7:$A$150,B31)&lt;&gt;1,COUNTIFS($A$7:$A$150,A31)&lt;&gt;1),"ID无效或重复",IF(OR(D31="",E31="",F31=""),"待补齐场景",IF(AND(J31="未体验",K31="未体验"),"未体验",IF(OR(J31="未体验",K31="未体验"),"需核对未体验",IF(COUNTA(G31:M31)&lt;&gt;7,"待补齐关键内容","已反馈"))))))</x:f>
        <x:v>待反馈</x:v>
      </x:c>
      <x:c r="Q31" s="89" t="n">
        <x:f>IF(AND(P31="已反馈",O31&lt;&gt;""),1,0)</x:f>
        <x:v>0</x:v>
      </x:c>
      <x:c r="R31" s="91"/>
      <x:c r="S31" s="91"/>
      <x:c r="T31" s="89" t="n">
        <x:f>IF(AND(P31="已反馈",Q31=1,R31="已核对",S31&lt;&gt;""),1,0)</x:f>
        <x:v>0</x:v>
      </x:c>
    </x:row>
    <x:row r="32" ht="76" customHeight="1">
      <x:c r="A32" s="88" t="str">
        <x:v>FB026</x:v>
      </x:c>
      <x:c r="B32" s="86"/>
      <x:c r="C32" s="88" t="str">
        <x:f>IF(COUNTIFS('运行记录'!$A$7:$A$150,B32)=1,INDEX('运行记录'!$E$7:$E$150,MATCH(B32,'运行记录'!$A$7:$A$150,0)),"")</x:f>
      </x:c>
      <x:c r="D32" s="89" t="str">
        <x:f>IF(C32="","",IF(INDEX('特性清单'!$B$7:$B$18,MATCH(INDEX('运行记录'!$C$7:$C$150,MATCH(B32,'运行记录'!$A$7:$A$150,0)),'特性清单'!$A$7:$A$18,0))="","",INDEX('特性清单'!$B$7:$B$18,MATCH(INDEX('运行记录'!$C$7:$C$150,MATCH(B32,'运行记录'!$A$7:$A$150,0)),'特性清单'!$A$7:$A$18,0))))</x:f>
      </x:c>
      <x:c r="E32" s="91"/>
      <x:c r="F32" s="91"/>
      <x:c r="G32" s="91"/>
      <x:c r="H32" s="91"/>
      <x:c r="I32" s="91"/>
      <x:c r="J32" s="91"/>
      <x:c r="K32" s="91"/>
      <x:c r="L32" s="91"/>
      <x:c r="M32" s="91"/>
      <x:c r="N32" s="91"/>
      <x:c r="O32" s="91"/>
      <x:c r="P32" s="89" t="str">
        <x:f>IF(COUNTA(B32)+COUNTA(E32:O32)+COUNTA(R32:S32)=0,"待反馈",IF(OR(COUNTIFS('运行记录'!$A$7:$A$150,B32)&lt;&gt;1,COUNTIFS($A$7:$A$150,A32)&lt;&gt;1),"ID无效或重复",IF(OR(D32="",E32="",F32=""),"待补齐场景",IF(AND(J32="未体验",K32="未体验"),"未体验",IF(OR(J32="未体验",K32="未体验"),"需核对未体验",IF(COUNTA(G32:M32)&lt;&gt;7,"待补齐关键内容","已反馈"))))))</x:f>
        <x:v>待反馈</x:v>
      </x:c>
      <x:c r="Q32" s="89" t="n">
        <x:f>IF(AND(P32="已反馈",O32&lt;&gt;""),1,0)</x:f>
        <x:v>0</x:v>
      </x:c>
      <x:c r="R32" s="91"/>
      <x:c r="S32" s="91"/>
      <x:c r="T32" s="89" t="n">
        <x:f>IF(AND(P32="已反馈",Q32=1,R32="已核对",S32&lt;&gt;""),1,0)</x:f>
        <x:v>0</x:v>
      </x:c>
    </x:row>
    <x:row r="33" ht="76" customHeight="1">
      <x:c r="A33" s="88" t="str">
        <x:v>FB027</x:v>
      </x:c>
      <x:c r="B33" s="86"/>
      <x:c r="C33" s="88" t="str">
        <x:f>IF(COUNTIFS('运行记录'!$A$7:$A$150,B33)=1,INDEX('运行记录'!$E$7:$E$150,MATCH(B33,'运行记录'!$A$7:$A$150,0)),"")</x:f>
      </x:c>
      <x:c r="D33" s="89" t="str">
        <x:f>IF(C33="","",IF(INDEX('特性清单'!$B$7:$B$18,MATCH(INDEX('运行记录'!$C$7:$C$150,MATCH(B33,'运行记录'!$A$7:$A$150,0)),'特性清单'!$A$7:$A$18,0))="","",INDEX('特性清单'!$B$7:$B$18,MATCH(INDEX('运行记录'!$C$7:$C$150,MATCH(B33,'运行记录'!$A$7:$A$150,0)),'特性清单'!$A$7:$A$18,0))))</x:f>
      </x:c>
      <x:c r="E33" s="91"/>
      <x:c r="F33" s="91"/>
      <x:c r="G33" s="91"/>
      <x:c r="H33" s="91"/>
      <x:c r="I33" s="91"/>
      <x:c r="J33" s="91"/>
      <x:c r="K33" s="91"/>
      <x:c r="L33" s="91"/>
      <x:c r="M33" s="91"/>
      <x:c r="N33" s="91"/>
      <x:c r="O33" s="91"/>
      <x:c r="P33" s="89" t="str">
        <x:f>IF(COUNTA(B33)+COUNTA(E33:O33)+COUNTA(R33:S33)=0,"待反馈",IF(OR(COUNTIFS('运行记录'!$A$7:$A$150,B33)&lt;&gt;1,COUNTIFS($A$7:$A$150,A33)&lt;&gt;1),"ID无效或重复",IF(OR(D33="",E33="",F33=""),"待补齐场景",IF(AND(J33="未体验",K33="未体验"),"未体验",IF(OR(J33="未体验",K33="未体验"),"需核对未体验",IF(COUNTA(G33:M33)&lt;&gt;7,"待补齐关键内容","已反馈"))))))</x:f>
        <x:v>待反馈</x:v>
      </x:c>
      <x:c r="Q33" s="89" t="n">
        <x:f>IF(AND(P33="已反馈",O33&lt;&gt;""),1,0)</x:f>
        <x:v>0</x:v>
      </x:c>
      <x:c r="R33" s="91"/>
      <x:c r="S33" s="91"/>
      <x:c r="T33" s="89" t="n">
        <x:f>IF(AND(P33="已反馈",Q33=1,R33="已核对",S33&lt;&gt;""),1,0)</x:f>
        <x:v>0</x:v>
      </x:c>
    </x:row>
    <x:row r="34" ht="76" customHeight="1">
      <x:c r="A34" s="88" t="str">
        <x:v>FB028</x:v>
      </x:c>
      <x:c r="B34" s="86"/>
      <x:c r="C34" s="88" t="str">
        <x:f>IF(COUNTIFS('运行记录'!$A$7:$A$150,B34)=1,INDEX('运行记录'!$E$7:$E$150,MATCH(B34,'运行记录'!$A$7:$A$150,0)),"")</x:f>
      </x:c>
      <x:c r="D34" s="89" t="str">
        <x:f>IF(C34="","",IF(INDEX('特性清单'!$B$7:$B$18,MATCH(INDEX('运行记录'!$C$7:$C$150,MATCH(B34,'运行记录'!$A$7:$A$150,0)),'特性清单'!$A$7:$A$18,0))="","",INDEX('特性清单'!$B$7:$B$18,MATCH(INDEX('运行记录'!$C$7:$C$150,MATCH(B34,'运行记录'!$A$7:$A$150,0)),'特性清单'!$A$7:$A$18,0))))</x:f>
      </x:c>
      <x:c r="E34" s="91"/>
      <x:c r="F34" s="91"/>
      <x:c r="G34" s="91"/>
      <x:c r="H34" s="91"/>
      <x:c r="I34" s="91"/>
      <x:c r="J34" s="91"/>
      <x:c r="K34" s="91"/>
      <x:c r="L34" s="91"/>
      <x:c r="M34" s="91"/>
      <x:c r="N34" s="91"/>
      <x:c r="O34" s="91"/>
      <x:c r="P34" s="89" t="str">
        <x:f>IF(COUNTA(B34)+COUNTA(E34:O34)+COUNTA(R34:S34)=0,"待反馈",IF(OR(COUNTIFS('运行记录'!$A$7:$A$150,B34)&lt;&gt;1,COUNTIFS($A$7:$A$150,A34)&lt;&gt;1),"ID无效或重复",IF(OR(D34="",E34="",F34=""),"待补齐场景",IF(AND(J34="未体验",K34="未体验"),"未体验",IF(OR(J34="未体验",K34="未体验"),"需核对未体验",IF(COUNTA(G34:M34)&lt;&gt;7,"待补齐关键内容","已反馈"))))))</x:f>
        <x:v>待反馈</x:v>
      </x:c>
      <x:c r="Q34" s="89" t="n">
        <x:f>IF(AND(P34="已反馈",O34&lt;&gt;""),1,0)</x:f>
        <x:v>0</x:v>
      </x:c>
      <x:c r="R34" s="91"/>
      <x:c r="S34" s="91"/>
      <x:c r="T34" s="89" t="n">
        <x:f>IF(AND(P34="已反馈",Q34=1,R34="已核对",S34&lt;&gt;""),1,0)</x:f>
        <x:v>0</x:v>
      </x:c>
    </x:row>
    <x:row r="35" ht="76" customHeight="1">
      <x:c r="A35" s="88" t="str">
        <x:v>FB029</x:v>
      </x:c>
      <x:c r="B35" s="86"/>
      <x:c r="C35" s="88" t="str">
        <x:f>IF(COUNTIFS('运行记录'!$A$7:$A$150,B35)=1,INDEX('运行记录'!$E$7:$E$150,MATCH(B35,'运行记录'!$A$7:$A$150,0)),"")</x:f>
      </x:c>
      <x:c r="D35" s="89" t="str">
        <x:f>IF(C35="","",IF(INDEX('特性清单'!$B$7:$B$18,MATCH(INDEX('运行记录'!$C$7:$C$150,MATCH(B35,'运行记录'!$A$7:$A$150,0)),'特性清单'!$A$7:$A$18,0))="","",INDEX('特性清单'!$B$7:$B$18,MATCH(INDEX('运行记录'!$C$7:$C$150,MATCH(B35,'运行记录'!$A$7:$A$150,0)),'特性清单'!$A$7:$A$18,0))))</x:f>
      </x:c>
      <x:c r="E35" s="91"/>
      <x:c r="F35" s="91"/>
      <x:c r="G35" s="91"/>
      <x:c r="H35" s="91"/>
      <x:c r="I35" s="91"/>
      <x:c r="J35" s="91"/>
      <x:c r="K35" s="91"/>
      <x:c r="L35" s="91"/>
      <x:c r="M35" s="91"/>
      <x:c r="N35" s="91"/>
      <x:c r="O35" s="91"/>
      <x:c r="P35" s="89" t="str">
        <x:f>IF(COUNTA(B35)+COUNTA(E35:O35)+COUNTA(R35:S35)=0,"待反馈",IF(OR(COUNTIFS('运行记录'!$A$7:$A$150,B35)&lt;&gt;1,COUNTIFS($A$7:$A$150,A35)&lt;&gt;1),"ID无效或重复",IF(OR(D35="",E35="",F35=""),"待补齐场景",IF(AND(J35="未体验",K35="未体验"),"未体验",IF(OR(J35="未体验",K35="未体验"),"需核对未体验",IF(COUNTA(G35:M35)&lt;&gt;7,"待补齐关键内容","已反馈"))))))</x:f>
        <x:v>待反馈</x:v>
      </x:c>
      <x:c r="Q35" s="89" t="n">
        <x:f>IF(AND(P35="已反馈",O35&lt;&gt;""),1,0)</x:f>
        <x:v>0</x:v>
      </x:c>
      <x:c r="R35" s="91"/>
      <x:c r="S35" s="91"/>
      <x:c r="T35" s="89" t="n">
        <x:f>IF(AND(P35="已反馈",Q35=1,R35="已核对",S35&lt;&gt;""),1,0)</x:f>
        <x:v>0</x:v>
      </x:c>
    </x:row>
    <x:row r="36" ht="76" customHeight="1">
      <x:c r="A36" s="88" t="str">
        <x:v>FB030</x:v>
      </x:c>
      <x:c r="B36" s="86"/>
      <x:c r="C36" s="88" t="str">
        <x:f>IF(COUNTIFS('运行记录'!$A$7:$A$150,B36)=1,INDEX('运行记录'!$E$7:$E$150,MATCH(B36,'运行记录'!$A$7:$A$150,0)),"")</x:f>
      </x:c>
      <x:c r="D36" s="89" t="str">
        <x:f>IF(C36="","",IF(INDEX('特性清单'!$B$7:$B$18,MATCH(INDEX('运行记录'!$C$7:$C$150,MATCH(B36,'运行记录'!$A$7:$A$150,0)),'特性清单'!$A$7:$A$18,0))="","",INDEX('特性清单'!$B$7:$B$18,MATCH(INDEX('运行记录'!$C$7:$C$150,MATCH(B36,'运行记录'!$A$7:$A$150,0)),'特性清单'!$A$7:$A$18,0))))</x:f>
      </x:c>
      <x:c r="E36" s="91"/>
      <x:c r="F36" s="91"/>
      <x:c r="G36" s="91"/>
      <x:c r="H36" s="91"/>
      <x:c r="I36" s="91"/>
      <x:c r="J36" s="91"/>
      <x:c r="K36" s="91"/>
      <x:c r="L36" s="91"/>
      <x:c r="M36" s="91"/>
      <x:c r="N36" s="91"/>
      <x:c r="O36" s="91"/>
      <x:c r="P36" s="89" t="str">
        <x:f>IF(COUNTA(B36)+COUNTA(E36:O36)+COUNTA(R36:S36)=0,"待反馈",IF(OR(COUNTIFS('运行记录'!$A$7:$A$150,B36)&lt;&gt;1,COUNTIFS($A$7:$A$150,A36)&lt;&gt;1),"ID无效或重复",IF(OR(D36="",E36="",F36=""),"待补齐场景",IF(AND(J36="未体验",K36="未体验"),"未体验",IF(OR(J36="未体验",K36="未体验"),"需核对未体验",IF(COUNTA(G36:M36)&lt;&gt;7,"待补齐关键内容","已反馈"))))))</x:f>
        <x:v>待反馈</x:v>
      </x:c>
      <x:c r="Q36" s="89" t="n">
        <x:f>IF(AND(P36="已反馈",O36&lt;&gt;""),1,0)</x:f>
        <x:v>0</x:v>
      </x:c>
      <x:c r="R36" s="91"/>
      <x:c r="S36" s="91"/>
      <x:c r="T36" s="89" t="n">
        <x:f>IF(AND(P36="已反馈",Q36=1,R36="已核对",S36&lt;&gt;""),1,0)</x:f>
        <x:v>0</x:v>
      </x:c>
    </x:row>
    <x:row r="37" ht="76" customHeight="1">
      <x:c r="A37" s="88" t="str">
        <x:v>FB031</x:v>
      </x:c>
      <x:c r="B37" s="86"/>
      <x:c r="C37" s="88" t="str">
        <x:f>IF(COUNTIFS('运行记录'!$A$7:$A$150,B37)=1,INDEX('运行记录'!$E$7:$E$150,MATCH(B37,'运行记录'!$A$7:$A$150,0)),"")</x:f>
      </x:c>
      <x:c r="D37" s="89" t="str">
        <x:f>IF(C37="","",IF(INDEX('特性清单'!$B$7:$B$18,MATCH(INDEX('运行记录'!$C$7:$C$150,MATCH(B37,'运行记录'!$A$7:$A$150,0)),'特性清单'!$A$7:$A$18,0))="","",INDEX('特性清单'!$B$7:$B$18,MATCH(INDEX('运行记录'!$C$7:$C$150,MATCH(B37,'运行记录'!$A$7:$A$150,0)),'特性清单'!$A$7:$A$18,0))))</x:f>
      </x:c>
      <x:c r="E37" s="91"/>
      <x:c r="F37" s="91"/>
      <x:c r="G37" s="91"/>
      <x:c r="H37" s="91"/>
      <x:c r="I37" s="91"/>
      <x:c r="J37" s="91"/>
      <x:c r="K37" s="91"/>
      <x:c r="L37" s="91"/>
      <x:c r="M37" s="91"/>
      <x:c r="N37" s="91"/>
      <x:c r="O37" s="91"/>
      <x:c r="P37" s="89" t="str">
        <x:f>IF(COUNTA(B37)+COUNTA(E37:O37)+COUNTA(R37:S37)=0,"待反馈",IF(OR(COUNTIFS('运行记录'!$A$7:$A$150,B37)&lt;&gt;1,COUNTIFS($A$7:$A$150,A37)&lt;&gt;1),"ID无效或重复",IF(OR(D37="",E37="",F37=""),"待补齐场景",IF(AND(J37="未体验",K37="未体验"),"未体验",IF(OR(J37="未体验",K37="未体验"),"需核对未体验",IF(COUNTA(G37:M37)&lt;&gt;7,"待补齐关键内容","已反馈"))))))</x:f>
        <x:v>待反馈</x:v>
      </x:c>
      <x:c r="Q37" s="89" t="n">
        <x:f>IF(AND(P37="已反馈",O37&lt;&gt;""),1,0)</x:f>
        <x:v>0</x:v>
      </x:c>
      <x:c r="R37" s="91"/>
      <x:c r="S37" s="91"/>
      <x:c r="T37" s="89" t="n">
        <x:f>IF(AND(P37="已反馈",Q37=1,R37="已核对",S37&lt;&gt;""),1,0)</x:f>
        <x:v>0</x:v>
      </x:c>
    </x:row>
    <x:row r="38" ht="76" customHeight="1">
      <x:c r="A38" s="88" t="str">
        <x:v>FB032</x:v>
      </x:c>
      <x:c r="B38" s="86"/>
      <x:c r="C38" s="88" t="str">
        <x:f>IF(COUNTIFS('运行记录'!$A$7:$A$150,B38)=1,INDEX('运行记录'!$E$7:$E$150,MATCH(B38,'运行记录'!$A$7:$A$150,0)),"")</x:f>
      </x:c>
      <x:c r="D38" s="89" t="str">
        <x:f>IF(C38="","",IF(INDEX('特性清单'!$B$7:$B$18,MATCH(INDEX('运行记录'!$C$7:$C$150,MATCH(B38,'运行记录'!$A$7:$A$150,0)),'特性清单'!$A$7:$A$18,0))="","",INDEX('特性清单'!$B$7:$B$18,MATCH(INDEX('运行记录'!$C$7:$C$150,MATCH(B38,'运行记录'!$A$7:$A$150,0)),'特性清单'!$A$7:$A$18,0))))</x:f>
      </x:c>
      <x:c r="E38" s="91"/>
      <x:c r="F38" s="91"/>
      <x:c r="G38" s="91"/>
      <x:c r="H38" s="91"/>
      <x:c r="I38" s="91"/>
      <x:c r="J38" s="91"/>
      <x:c r="K38" s="91"/>
      <x:c r="L38" s="91"/>
      <x:c r="M38" s="91"/>
      <x:c r="N38" s="91"/>
      <x:c r="O38" s="91"/>
      <x:c r="P38" s="89" t="str">
        <x:f>IF(COUNTA(B38)+COUNTA(E38:O38)+COUNTA(R38:S38)=0,"待反馈",IF(OR(COUNTIFS('运行记录'!$A$7:$A$150,B38)&lt;&gt;1,COUNTIFS($A$7:$A$150,A38)&lt;&gt;1),"ID无效或重复",IF(OR(D38="",E38="",F38=""),"待补齐场景",IF(AND(J38="未体验",K38="未体验"),"未体验",IF(OR(J38="未体验",K38="未体验"),"需核对未体验",IF(COUNTA(G38:M38)&lt;&gt;7,"待补齐关键内容","已反馈"))))))</x:f>
        <x:v>待反馈</x:v>
      </x:c>
      <x:c r="Q38" s="89" t="n">
        <x:f>IF(AND(P38="已反馈",O38&lt;&gt;""),1,0)</x:f>
        <x:v>0</x:v>
      </x:c>
      <x:c r="R38" s="91"/>
      <x:c r="S38" s="91"/>
      <x:c r="T38" s="89" t="n">
        <x:f>IF(AND(P38="已反馈",Q38=1,R38="已核对",S38&lt;&gt;""),1,0)</x:f>
        <x:v>0</x:v>
      </x:c>
    </x:row>
    <x:row r="39" ht="76" customHeight="1">
      <x:c r="A39" s="88" t="str">
        <x:v>FB033</x:v>
      </x:c>
      <x:c r="B39" s="86"/>
      <x:c r="C39" s="88" t="str">
        <x:f>IF(COUNTIFS('运行记录'!$A$7:$A$150,B39)=1,INDEX('运行记录'!$E$7:$E$150,MATCH(B39,'运行记录'!$A$7:$A$150,0)),"")</x:f>
      </x:c>
      <x:c r="D39" s="89" t="str">
        <x:f>IF(C39="","",IF(INDEX('特性清单'!$B$7:$B$18,MATCH(INDEX('运行记录'!$C$7:$C$150,MATCH(B39,'运行记录'!$A$7:$A$150,0)),'特性清单'!$A$7:$A$18,0))="","",INDEX('特性清单'!$B$7:$B$18,MATCH(INDEX('运行记录'!$C$7:$C$150,MATCH(B39,'运行记录'!$A$7:$A$150,0)),'特性清单'!$A$7:$A$18,0))))</x:f>
      </x:c>
      <x:c r="E39" s="91"/>
      <x:c r="F39" s="91"/>
      <x:c r="G39" s="91"/>
      <x:c r="H39" s="91"/>
      <x:c r="I39" s="91"/>
      <x:c r="J39" s="91"/>
      <x:c r="K39" s="91"/>
      <x:c r="L39" s="91"/>
      <x:c r="M39" s="91"/>
      <x:c r="N39" s="91"/>
      <x:c r="O39" s="91"/>
      <x:c r="P39" s="89" t="str">
        <x:f>IF(COUNTA(B39)+COUNTA(E39:O39)+COUNTA(R39:S39)=0,"待反馈",IF(OR(COUNTIFS('运行记录'!$A$7:$A$150,B39)&lt;&gt;1,COUNTIFS($A$7:$A$150,A39)&lt;&gt;1),"ID无效或重复",IF(OR(D39="",E39="",F39=""),"待补齐场景",IF(AND(J39="未体验",K39="未体验"),"未体验",IF(OR(J39="未体验",K39="未体验"),"需核对未体验",IF(COUNTA(G39:M39)&lt;&gt;7,"待补齐关键内容","已反馈"))))))</x:f>
        <x:v>待反馈</x:v>
      </x:c>
      <x:c r="Q39" s="89" t="n">
        <x:f>IF(AND(P39="已反馈",O39&lt;&gt;""),1,0)</x:f>
        <x:v>0</x:v>
      </x:c>
      <x:c r="R39" s="91"/>
      <x:c r="S39" s="91"/>
      <x:c r="T39" s="89" t="n">
        <x:f>IF(AND(P39="已反馈",Q39=1,R39="已核对",S39&lt;&gt;""),1,0)</x:f>
        <x:v>0</x:v>
      </x:c>
    </x:row>
    <x:row r="40" ht="76" customHeight="1">
      <x:c r="A40" s="88" t="str">
        <x:v>FB034</x:v>
      </x:c>
      <x:c r="B40" s="86"/>
      <x:c r="C40" s="88" t="str">
        <x:f>IF(COUNTIFS('运行记录'!$A$7:$A$150,B40)=1,INDEX('运行记录'!$E$7:$E$150,MATCH(B40,'运行记录'!$A$7:$A$150,0)),"")</x:f>
      </x:c>
      <x:c r="D40" s="89" t="str">
        <x:f>IF(C40="","",IF(INDEX('特性清单'!$B$7:$B$18,MATCH(INDEX('运行记录'!$C$7:$C$150,MATCH(B40,'运行记录'!$A$7:$A$150,0)),'特性清单'!$A$7:$A$18,0))="","",INDEX('特性清单'!$B$7:$B$18,MATCH(INDEX('运行记录'!$C$7:$C$150,MATCH(B40,'运行记录'!$A$7:$A$150,0)),'特性清单'!$A$7:$A$18,0))))</x:f>
      </x:c>
      <x:c r="E40" s="91"/>
      <x:c r="F40" s="91"/>
      <x:c r="G40" s="91"/>
      <x:c r="H40" s="91"/>
      <x:c r="I40" s="91"/>
      <x:c r="J40" s="91"/>
      <x:c r="K40" s="91"/>
      <x:c r="L40" s="91"/>
      <x:c r="M40" s="91"/>
      <x:c r="N40" s="91"/>
      <x:c r="O40" s="91"/>
      <x:c r="P40" s="89" t="str">
        <x:f>IF(COUNTA(B40)+COUNTA(E40:O40)+COUNTA(R40:S40)=0,"待反馈",IF(OR(COUNTIFS('运行记录'!$A$7:$A$150,B40)&lt;&gt;1,COUNTIFS($A$7:$A$150,A40)&lt;&gt;1),"ID无效或重复",IF(OR(D40="",E40="",F40=""),"待补齐场景",IF(AND(J40="未体验",K40="未体验"),"未体验",IF(OR(J40="未体验",K40="未体验"),"需核对未体验",IF(COUNTA(G40:M40)&lt;&gt;7,"待补齐关键内容","已反馈"))))))</x:f>
        <x:v>待反馈</x:v>
      </x:c>
      <x:c r="Q40" s="89" t="n">
        <x:f>IF(AND(P40="已反馈",O40&lt;&gt;""),1,0)</x:f>
        <x:v>0</x:v>
      </x:c>
      <x:c r="R40" s="91"/>
      <x:c r="S40" s="91"/>
      <x:c r="T40" s="89" t="n">
        <x:f>IF(AND(P40="已反馈",Q40=1,R40="已核对",S40&lt;&gt;""),1,0)</x:f>
        <x:v>0</x:v>
      </x:c>
    </x:row>
    <x:row r="41" ht="76" customHeight="1">
      <x:c r="A41" s="88" t="str">
        <x:v>FB035</x:v>
      </x:c>
      <x:c r="B41" s="86"/>
      <x:c r="C41" s="88" t="str">
        <x:f>IF(COUNTIFS('运行记录'!$A$7:$A$150,B41)=1,INDEX('运行记录'!$E$7:$E$150,MATCH(B41,'运行记录'!$A$7:$A$150,0)),"")</x:f>
      </x:c>
      <x:c r="D41" s="89" t="str">
        <x:f>IF(C41="","",IF(INDEX('特性清单'!$B$7:$B$18,MATCH(INDEX('运行记录'!$C$7:$C$150,MATCH(B41,'运行记录'!$A$7:$A$150,0)),'特性清单'!$A$7:$A$18,0))="","",INDEX('特性清单'!$B$7:$B$18,MATCH(INDEX('运行记录'!$C$7:$C$150,MATCH(B41,'运行记录'!$A$7:$A$150,0)),'特性清单'!$A$7:$A$18,0))))</x:f>
      </x:c>
      <x:c r="E41" s="91"/>
      <x:c r="F41" s="91"/>
      <x:c r="G41" s="91"/>
      <x:c r="H41" s="91"/>
      <x:c r="I41" s="91"/>
      <x:c r="J41" s="91"/>
      <x:c r="K41" s="91"/>
      <x:c r="L41" s="91"/>
      <x:c r="M41" s="91"/>
      <x:c r="N41" s="91"/>
      <x:c r="O41" s="91"/>
      <x:c r="P41" s="89" t="str">
        <x:f>IF(COUNTA(B41)+COUNTA(E41:O41)+COUNTA(R41:S41)=0,"待反馈",IF(OR(COUNTIFS('运行记录'!$A$7:$A$150,B41)&lt;&gt;1,COUNTIFS($A$7:$A$150,A41)&lt;&gt;1),"ID无效或重复",IF(OR(D41="",E41="",F41=""),"待补齐场景",IF(AND(J41="未体验",K41="未体验"),"未体验",IF(OR(J41="未体验",K41="未体验"),"需核对未体验",IF(COUNTA(G41:M41)&lt;&gt;7,"待补齐关键内容","已反馈"))))))</x:f>
        <x:v>待反馈</x:v>
      </x:c>
      <x:c r="Q41" s="89" t="n">
        <x:f>IF(AND(P41="已反馈",O41&lt;&gt;""),1,0)</x:f>
        <x:v>0</x:v>
      </x:c>
      <x:c r="R41" s="91"/>
      <x:c r="S41" s="91"/>
      <x:c r="T41" s="89" t="n">
        <x:f>IF(AND(P41="已反馈",Q41=1,R41="已核对",S41&lt;&gt;""),1,0)</x:f>
        <x:v>0</x:v>
      </x:c>
    </x:row>
    <x:row r="42" ht="76" customHeight="1">
      <x:c r="A42" s="88" t="str">
        <x:v>FB036</x:v>
      </x:c>
      <x:c r="B42" s="86"/>
      <x:c r="C42" s="88" t="str">
        <x:f>IF(COUNTIFS('运行记录'!$A$7:$A$150,B42)=1,INDEX('运行记录'!$E$7:$E$150,MATCH(B42,'运行记录'!$A$7:$A$150,0)),"")</x:f>
      </x:c>
      <x:c r="D42" s="89" t="str">
        <x:f>IF(C42="","",IF(INDEX('特性清单'!$B$7:$B$18,MATCH(INDEX('运行记录'!$C$7:$C$150,MATCH(B42,'运行记录'!$A$7:$A$150,0)),'特性清单'!$A$7:$A$18,0))="","",INDEX('特性清单'!$B$7:$B$18,MATCH(INDEX('运行记录'!$C$7:$C$150,MATCH(B42,'运行记录'!$A$7:$A$150,0)),'特性清单'!$A$7:$A$18,0))))</x:f>
      </x:c>
      <x:c r="E42" s="91"/>
      <x:c r="F42" s="91"/>
      <x:c r="G42" s="91"/>
      <x:c r="H42" s="91"/>
      <x:c r="I42" s="91"/>
      <x:c r="J42" s="91"/>
      <x:c r="K42" s="91"/>
      <x:c r="L42" s="91"/>
      <x:c r="M42" s="91"/>
      <x:c r="N42" s="91"/>
      <x:c r="O42" s="91"/>
      <x:c r="P42" s="89" t="str">
        <x:f>IF(COUNTA(B42)+COUNTA(E42:O42)+COUNTA(R42:S42)=0,"待反馈",IF(OR(COUNTIFS('运行记录'!$A$7:$A$150,B42)&lt;&gt;1,COUNTIFS($A$7:$A$150,A42)&lt;&gt;1),"ID无效或重复",IF(OR(D42="",E42="",F42=""),"待补齐场景",IF(AND(J42="未体验",K42="未体验"),"未体验",IF(OR(J42="未体验",K42="未体验"),"需核对未体验",IF(COUNTA(G42:M42)&lt;&gt;7,"待补齐关键内容","已反馈"))))))</x:f>
        <x:v>待反馈</x:v>
      </x:c>
      <x:c r="Q42" s="89" t="n">
        <x:f>IF(AND(P42="已反馈",O42&lt;&gt;""),1,0)</x:f>
        <x:v>0</x:v>
      </x:c>
      <x:c r="R42" s="91"/>
      <x:c r="S42" s="91"/>
      <x:c r="T42" s="89" t="n">
        <x:f>IF(AND(P42="已反馈",Q42=1,R42="已核对",S42&lt;&gt;""),1,0)</x:f>
        <x:v>0</x:v>
      </x:c>
    </x:row>
    <x:row r="43" ht="76" customHeight="1">
      <x:c r="A43" s="88" t="str">
        <x:v>FB037</x:v>
      </x:c>
      <x:c r="B43" s="86"/>
      <x:c r="C43" s="88" t="str">
        <x:f>IF(COUNTIFS('运行记录'!$A$7:$A$150,B43)=1,INDEX('运行记录'!$E$7:$E$150,MATCH(B43,'运行记录'!$A$7:$A$150,0)),"")</x:f>
      </x:c>
      <x:c r="D43" s="89" t="str">
        <x:f>IF(C43="","",IF(INDEX('特性清单'!$B$7:$B$18,MATCH(INDEX('运行记录'!$C$7:$C$150,MATCH(B43,'运行记录'!$A$7:$A$150,0)),'特性清单'!$A$7:$A$18,0))="","",INDEX('特性清单'!$B$7:$B$18,MATCH(INDEX('运行记录'!$C$7:$C$150,MATCH(B43,'运行记录'!$A$7:$A$150,0)),'特性清单'!$A$7:$A$18,0))))</x:f>
      </x:c>
      <x:c r="E43" s="91"/>
      <x:c r="F43" s="91"/>
      <x:c r="G43" s="91"/>
      <x:c r="H43" s="91"/>
      <x:c r="I43" s="91"/>
      <x:c r="J43" s="91"/>
      <x:c r="K43" s="91"/>
      <x:c r="L43" s="91"/>
      <x:c r="M43" s="91"/>
      <x:c r="N43" s="91"/>
      <x:c r="O43" s="91"/>
      <x:c r="P43" s="89" t="str">
        <x:f>IF(COUNTA(B43)+COUNTA(E43:O43)+COUNTA(R43:S43)=0,"待反馈",IF(OR(COUNTIFS('运行记录'!$A$7:$A$150,B43)&lt;&gt;1,COUNTIFS($A$7:$A$150,A43)&lt;&gt;1),"ID无效或重复",IF(OR(D43="",E43="",F43=""),"待补齐场景",IF(AND(J43="未体验",K43="未体验"),"未体验",IF(OR(J43="未体验",K43="未体验"),"需核对未体验",IF(COUNTA(G43:M43)&lt;&gt;7,"待补齐关键内容","已反馈"))))))</x:f>
        <x:v>待反馈</x:v>
      </x:c>
      <x:c r="Q43" s="89" t="n">
        <x:f>IF(AND(P43="已反馈",O43&lt;&gt;""),1,0)</x:f>
        <x:v>0</x:v>
      </x:c>
      <x:c r="R43" s="91"/>
      <x:c r="S43" s="91"/>
      <x:c r="T43" s="89" t="n">
        <x:f>IF(AND(P43="已反馈",Q43=1,R43="已核对",S43&lt;&gt;""),1,0)</x:f>
        <x:v>0</x:v>
      </x:c>
    </x:row>
    <x:row r="44" ht="76" customHeight="1">
      <x:c r="A44" s="88" t="str">
        <x:v>FB038</x:v>
      </x:c>
      <x:c r="B44" s="86"/>
      <x:c r="C44" s="88" t="str">
        <x:f>IF(COUNTIFS('运行记录'!$A$7:$A$150,B44)=1,INDEX('运行记录'!$E$7:$E$150,MATCH(B44,'运行记录'!$A$7:$A$150,0)),"")</x:f>
      </x:c>
      <x:c r="D44" s="89" t="str">
        <x:f>IF(C44="","",IF(INDEX('特性清单'!$B$7:$B$18,MATCH(INDEX('运行记录'!$C$7:$C$150,MATCH(B44,'运行记录'!$A$7:$A$150,0)),'特性清单'!$A$7:$A$18,0))="","",INDEX('特性清单'!$B$7:$B$18,MATCH(INDEX('运行记录'!$C$7:$C$150,MATCH(B44,'运行记录'!$A$7:$A$150,0)),'特性清单'!$A$7:$A$18,0))))</x:f>
      </x:c>
      <x:c r="E44" s="91"/>
      <x:c r="F44" s="91"/>
      <x:c r="G44" s="91"/>
      <x:c r="H44" s="91"/>
      <x:c r="I44" s="91"/>
      <x:c r="J44" s="91"/>
      <x:c r="K44" s="91"/>
      <x:c r="L44" s="91"/>
      <x:c r="M44" s="91"/>
      <x:c r="N44" s="91"/>
      <x:c r="O44" s="91"/>
      <x:c r="P44" s="89" t="str">
        <x:f>IF(COUNTA(B44)+COUNTA(E44:O44)+COUNTA(R44:S44)=0,"待反馈",IF(OR(COUNTIFS('运行记录'!$A$7:$A$150,B44)&lt;&gt;1,COUNTIFS($A$7:$A$150,A44)&lt;&gt;1),"ID无效或重复",IF(OR(D44="",E44="",F44=""),"待补齐场景",IF(AND(J44="未体验",K44="未体验"),"未体验",IF(OR(J44="未体验",K44="未体验"),"需核对未体验",IF(COUNTA(G44:M44)&lt;&gt;7,"待补齐关键内容","已反馈"))))))</x:f>
        <x:v>待反馈</x:v>
      </x:c>
      <x:c r="Q44" s="89" t="n">
        <x:f>IF(AND(P44="已反馈",O44&lt;&gt;""),1,0)</x:f>
        <x:v>0</x:v>
      </x:c>
      <x:c r="R44" s="91"/>
      <x:c r="S44" s="91"/>
      <x:c r="T44" s="89" t="n">
        <x:f>IF(AND(P44="已反馈",Q44=1,R44="已核对",S44&lt;&gt;""),1,0)</x:f>
        <x:v>0</x:v>
      </x:c>
    </x:row>
    <x:row r="45" ht="76" customHeight="1">
      <x:c r="A45" s="88" t="str">
        <x:v>FB039</x:v>
      </x:c>
      <x:c r="B45" s="86"/>
      <x:c r="C45" s="88" t="str">
        <x:f>IF(COUNTIFS('运行记录'!$A$7:$A$150,B45)=1,INDEX('运行记录'!$E$7:$E$150,MATCH(B45,'运行记录'!$A$7:$A$150,0)),"")</x:f>
      </x:c>
      <x:c r="D45" s="89" t="str">
        <x:f>IF(C45="","",IF(INDEX('特性清单'!$B$7:$B$18,MATCH(INDEX('运行记录'!$C$7:$C$150,MATCH(B45,'运行记录'!$A$7:$A$150,0)),'特性清单'!$A$7:$A$18,0))="","",INDEX('特性清单'!$B$7:$B$18,MATCH(INDEX('运行记录'!$C$7:$C$150,MATCH(B45,'运行记录'!$A$7:$A$150,0)),'特性清单'!$A$7:$A$18,0))))</x:f>
      </x:c>
      <x:c r="E45" s="91"/>
      <x:c r="F45" s="91"/>
      <x:c r="G45" s="91"/>
      <x:c r="H45" s="91"/>
      <x:c r="I45" s="91"/>
      <x:c r="J45" s="91"/>
      <x:c r="K45" s="91"/>
      <x:c r="L45" s="91"/>
      <x:c r="M45" s="91"/>
      <x:c r="N45" s="91"/>
      <x:c r="O45" s="91"/>
      <x:c r="P45" s="89" t="str">
        <x:f>IF(COUNTA(B45)+COUNTA(E45:O45)+COUNTA(R45:S45)=0,"待反馈",IF(OR(COUNTIFS('运行记录'!$A$7:$A$150,B45)&lt;&gt;1,COUNTIFS($A$7:$A$150,A45)&lt;&gt;1),"ID无效或重复",IF(OR(D45="",E45="",F45=""),"待补齐场景",IF(AND(J45="未体验",K45="未体验"),"未体验",IF(OR(J45="未体验",K45="未体验"),"需核对未体验",IF(COUNTA(G45:M45)&lt;&gt;7,"待补齐关键内容","已反馈"))))))</x:f>
        <x:v>待反馈</x:v>
      </x:c>
      <x:c r="Q45" s="89" t="n">
        <x:f>IF(AND(P45="已反馈",O45&lt;&gt;""),1,0)</x:f>
        <x:v>0</x:v>
      </x:c>
      <x:c r="R45" s="91"/>
      <x:c r="S45" s="91"/>
      <x:c r="T45" s="89" t="n">
        <x:f>IF(AND(P45="已反馈",Q45=1,R45="已核对",S45&lt;&gt;""),1,0)</x:f>
        <x:v>0</x:v>
      </x:c>
    </x:row>
    <x:row r="46" ht="76" customHeight="1">
      <x:c r="A46" s="88" t="str">
        <x:v>FB040</x:v>
      </x:c>
      <x:c r="B46" s="86"/>
      <x:c r="C46" s="88" t="str">
        <x:f>IF(COUNTIFS('运行记录'!$A$7:$A$150,B46)=1,INDEX('运行记录'!$E$7:$E$150,MATCH(B46,'运行记录'!$A$7:$A$150,0)),"")</x:f>
      </x:c>
      <x:c r="D46" s="89" t="str">
        <x:f>IF(C46="","",IF(INDEX('特性清单'!$B$7:$B$18,MATCH(INDEX('运行记录'!$C$7:$C$150,MATCH(B46,'运行记录'!$A$7:$A$150,0)),'特性清单'!$A$7:$A$18,0))="","",INDEX('特性清单'!$B$7:$B$18,MATCH(INDEX('运行记录'!$C$7:$C$150,MATCH(B46,'运行记录'!$A$7:$A$150,0)),'特性清单'!$A$7:$A$18,0))))</x:f>
      </x:c>
      <x:c r="E46" s="91"/>
      <x:c r="F46" s="91"/>
      <x:c r="G46" s="91"/>
      <x:c r="H46" s="91"/>
      <x:c r="I46" s="91"/>
      <x:c r="J46" s="91"/>
      <x:c r="K46" s="91"/>
      <x:c r="L46" s="91"/>
      <x:c r="M46" s="91"/>
      <x:c r="N46" s="91"/>
      <x:c r="O46" s="91"/>
      <x:c r="P46" s="89" t="str">
        <x:f>IF(COUNTA(B46)+COUNTA(E46:O46)+COUNTA(R46:S46)=0,"待反馈",IF(OR(COUNTIFS('运行记录'!$A$7:$A$150,B46)&lt;&gt;1,COUNTIFS($A$7:$A$150,A46)&lt;&gt;1),"ID无效或重复",IF(OR(D46="",E46="",F46=""),"待补齐场景",IF(AND(J46="未体验",K46="未体验"),"未体验",IF(OR(J46="未体验",K46="未体验"),"需核对未体验",IF(COUNTA(G46:M46)&lt;&gt;7,"待补齐关键内容","已反馈"))))))</x:f>
        <x:v>待反馈</x:v>
      </x:c>
      <x:c r="Q46" s="89" t="n">
        <x:f>IF(AND(P46="已反馈",O46&lt;&gt;""),1,0)</x:f>
        <x:v>0</x:v>
      </x:c>
      <x:c r="R46" s="91"/>
      <x:c r="S46" s="91"/>
      <x:c r="T46" s="89" t="n">
        <x:f>IF(AND(P46="已反馈",Q46=1,R46="已核对",S46&lt;&gt;""),1,0)</x:f>
        <x:v>0</x:v>
      </x:c>
    </x:row>
    <x:row r="47" ht="76" customHeight="1">
      <x:c r="A47" s="88" t="str">
        <x:v>FB041</x:v>
      </x:c>
      <x:c r="B47" s="86"/>
      <x:c r="C47" s="88" t="str">
        <x:f>IF(COUNTIFS('运行记录'!$A$7:$A$150,B47)=1,INDEX('运行记录'!$E$7:$E$150,MATCH(B47,'运行记录'!$A$7:$A$150,0)),"")</x:f>
      </x:c>
      <x:c r="D47" s="89" t="str">
        <x:f>IF(C47="","",IF(INDEX('特性清单'!$B$7:$B$18,MATCH(INDEX('运行记录'!$C$7:$C$150,MATCH(B47,'运行记录'!$A$7:$A$150,0)),'特性清单'!$A$7:$A$18,0))="","",INDEX('特性清单'!$B$7:$B$18,MATCH(INDEX('运行记录'!$C$7:$C$150,MATCH(B47,'运行记录'!$A$7:$A$150,0)),'特性清单'!$A$7:$A$18,0))))</x:f>
      </x:c>
      <x:c r="E47" s="91"/>
      <x:c r="F47" s="91"/>
      <x:c r="G47" s="91"/>
      <x:c r="H47" s="91"/>
      <x:c r="I47" s="91"/>
      <x:c r="J47" s="91"/>
      <x:c r="K47" s="91"/>
      <x:c r="L47" s="91"/>
      <x:c r="M47" s="91"/>
      <x:c r="N47" s="91"/>
      <x:c r="O47" s="91"/>
      <x:c r="P47" s="89" t="str">
        <x:f>IF(COUNTA(B47)+COUNTA(E47:O47)+COUNTA(R47:S47)=0,"待反馈",IF(OR(COUNTIFS('运行记录'!$A$7:$A$150,B47)&lt;&gt;1,COUNTIFS($A$7:$A$150,A47)&lt;&gt;1),"ID无效或重复",IF(OR(D47="",E47="",F47=""),"待补齐场景",IF(AND(J47="未体验",K47="未体验"),"未体验",IF(OR(J47="未体验",K47="未体验"),"需核对未体验",IF(COUNTA(G47:M47)&lt;&gt;7,"待补齐关键内容","已反馈"))))))</x:f>
        <x:v>待反馈</x:v>
      </x:c>
      <x:c r="Q47" s="89" t="n">
        <x:f>IF(AND(P47="已反馈",O47&lt;&gt;""),1,0)</x:f>
        <x:v>0</x:v>
      </x:c>
      <x:c r="R47" s="91"/>
      <x:c r="S47" s="91"/>
      <x:c r="T47" s="89" t="n">
        <x:f>IF(AND(P47="已反馈",Q47=1,R47="已核对",S47&lt;&gt;""),1,0)</x:f>
        <x:v>0</x:v>
      </x:c>
    </x:row>
    <x:row r="48" ht="76" customHeight="1">
      <x:c r="A48" s="88" t="str">
        <x:v>FB042</x:v>
      </x:c>
      <x:c r="B48" s="86"/>
      <x:c r="C48" s="88" t="str">
        <x:f>IF(COUNTIFS('运行记录'!$A$7:$A$150,B48)=1,INDEX('运行记录'!$E$7:$E$150,MATCH(B48,'运行记录'!$A$7:$A$150,0)),"")</x:f>
      </x:c>
      <x:c r="D48" s="89" t="str">
        <x:f>IF(C48="","",IF(INDEX('特性清单'!$B$7:$B$18,MATCH(INDEX('运行记录'!$C$7:$C$150,MATCH(B48,'运行记录'!$A$7:$A$150,0)),'特性清单'!$A$7:$A$18,0))="","",INDEX('特性清单'!$B$7:$B$18,MATCH(INDEX('运行记录'!$C$7:$C$150,MATCH(B48,'运行记录'!$A$7:$A$150,0)),'特性清单'!$A$7:$A$18,0))))</x:f>
      </x:c>
      <x:c r="E48" s="91"/>
      <x:c r="F48" s="91"/>
      <x:c r="G48" s="91"/>
      <x:c r="H48" s="91"/>
      <x:c r="I48" s="91"/>
      <x:c r="J48" s="91"/>
      <x:c r="K48" s="91"/>
      <x:c r="L48" s="91"/>
      <x:c r="M48" s="91"/>
      <x:c r="N48" s="91"/>
      <x:c r="O48" s="91"/>
      <x:c r="P48" s="89" t="str">
        <x:f>IF(COUNTA(B48)+COUNTA(E48:O48)+COUNTA(R48:S48)=0,"待反馈",IF(OR(COUNTIFS('运行记录'!$A$7:$A$150,B48)&lt;&gt;1,COUNTIFS($A$7:$A$150,A48)&lt;&gt;1),"ID无效或重复",IF(OR(D48="",E48="",F48=""),"待补齐场景",IF(AND(J48="未体验",K48="未体验"),"未体验",IF(OR(J48="未体验",K48="未体验"),"需核对未体验",IF(COUNTA(G48:M48)&lt;&gt;7,"待补齐关键内容","已反馈"))))))</x:f>
        <x:v>待反馈</x:v>
      </x:c>
      <x:c r="Q48" s="89" t="n">
        <x:f>IF(AND(P48="已反馈",O48&lt;&gt;""),1,0)</x:f>
        <x:v>0</x:v>
      </x:c>
      <x:c r="R48" s="91"/>
      <x:c r="S48" s="91"/>
      <x:c r="T48" s="89" t="n">
        <x:f>IF(AND(P48="已反馈",Q48=1,R48="已核对",S48&lt;&gt;""),1,0)</x:f>
        <x:v>0</x:v>
      </x:c>
    </x:row>
    <x:row r="49" ht="76" customHeight="1">
      <x:c r="A49" s="88" t="str">
        <x:v>FB043</x:v>
      </x:c>
      <x:c r="B49" s="86"/>
      <x:c r="C49" s="88" t="str">
        <x:f>IF(COUNTIFS('运行记录'!$A$7:$A$150,B49)=1,INDEX('运行记录'!$E$7:$E$150,MATCH(B49,'运行记录'!$A$7:$A$150,0)),"")</x:f>
      </x:c>
      <x:c r="D49" s="89" t="str">
        <x:f>IF(C49="","",IF(INDEX('特性清单'!$B$7:$B$18,MATCH(INDEX('运行记录'!$C$7:$C$150,MATCH(B49,'运行记录'!$A$7:$A$150,0)),'特性清单'!$A$7:$A$18,0))="","",INDEX('特性清单'!$B$7:$B$18,MATCH(INDEX('运行记录'!$C$7:$C$150,MATCH(B49,'运行记录'!$A$7:$A$150,0)),'特性清单'!$A$7:$A$18,0))))</x:f>
      </x:c>
      <x:c r="E49" s="91"/>
      <x:c r="F49" s="91"/>
      <x:c r="G49" s="91"/>
      <x:c r="H49" s="91"/>
      <x:c r="I49" s="91"/>
      <x:c r="J49" s="91"/>
      <x:c r="K49" s="91"/>
      <x:c r="L49" s="91"/>
      <x:c r="M49" s="91"/>
      <x:c r="N49" s="91"/>
      <x:c r="O49" s="91"/>
      <x:c r="P49" s="89" t="str">
        <x:f>IF(COUNTA(B49)+COUNTA(E49:O49)+COUNTA(R49:S49)=0,"待反馈",IF(OR(COUNTIFS('运行记录'!$A$7:$A$150,B49)&lt;&gt;1,COUNTIFS($A$7:$A$150,A49)&lt;&gt;1),"ID无效或重复",IF(OR(D49="",E49="",F49=""),"待补齐场景",IF(AND(J49="未体验",K49="未体验"),"未体验",IF(OR(J49="未体验",K49="未体验"),"需核对未体验",IF(COUNTA(G49:M49)&lt;&gt;7,"待补齐关键内容","已反馈"))))))</x:f>
        <x:v>待反馈</x:v>
      </x:c>
      <x:c r="Q49" s="89" t="n">
        <x:f>IF(AND(P49="已反馈",O49&lt;&gt;""),1,0)</x:f>
        <x:v>0</x:v>
      </x:c>
      <x:c r="R49" s="91"/>
      <x:c r="S49" s="91"/>
      <x:c r="T49" s="89" t="n">
        <x:f>IF(AND(P49="已反馈",Q49=1,R49="已核对",S49&lt;&gt;""),1,0)</x:f>
        <x:v>0</x:v>
      </x:c>
    </x:row>
    <x:row r="50" ht="76" customHeight="1">
      <x:c r="A50" s="88" t="str">
        <x:v>FB044</x:v>
      </x:c>
      <x:c r="B50" s="86"/>
      <x:c r="C50" s="88" t="str">
        <x:f>IF(COUNTIFS('运行记录'!$A$7:$A$150,B50)=1,INDEX('运行记录'!$E$7:$E$150,MATCH(B50,'运行记录'!$A$7:$A$150,0)),"")</x:f>
      </x:c>
      <x:c r="D50" s="89" t="str">
        <x:f>IF(C50="","",IF(INDEX('特性清单'!$B$7:$B$18,MATCH(INDEX('运行记录'!$C$7:$C$150,MATCH(B50,'运行记录'!$A$7:$A$150,0)),'特性清单'!$A$7:$A$18,0))="","",INDEX('特性清单'!$B$7:$B$18,MATCH(INDEX('运行记录'!$C$7:$C$150,MATCH(B50,'运行记录'!$A$7:$A$150,0)),'特性清单'!$A$7:$A$18,0))))</x:f>
      </x:c>
      <x:c r="E50" s="91"/>
      <x:c r="F50" s="91"/>
      <x:c r="G50" s="91"/>
      <x:c r="H50" s="91"/>
      <x:c r="I50" s="91"/>
      <x:c r="J50" s="91"/>
      <x:c r="K50" s="91"/>
      <x:c r="L50" s="91"/>
      <x:c r="M50" s="91"/>
      <x:c r="N50" s="91"/>
      <x:c r="O50" s="91"/>
      <x:c r="P50" s="89" t="str">
        <x:f>IF(COUNTA(B50)+COUNTA(E50:O50)+COUNTA(R50:S50)=0,"待反馈",IF(OR(COUNTIFS('运行记录'!$A$7:$A$150,B50)&lt;&gt;1,COUNTIFS($A$7:$A$150,A50)&lt;&gt;1),"ID无效或重复",IF(OR(D50="",E50="",F50=""),"待补齐场景",IF(AND(J50="未体验",K50="未体验"),"未体验",IF(OR(J50="未体验",K50="未体验"),"需核对未体验",IF(COUNTA(G50:M50)&lt;&gt;7,"待补齐关键内容","已反馈"))))))</x:f>
        <x:v>待反馈</x:v>
      </x:c>
      <x:c r="Q50" s="89" t="n">
        <x:f>IF(AND(P50="已反馈",O50&lt;&gt;""),1,0)</x:f>
        <x:v>0</x:v>
      </x:c>
      <x:c r="R50" s="91"/>
      <x:c r="S50" s="91"/>
      <x:c r="T50" s="89" t="n">
        <x:f>IF(AND(P50="已反馈",Q50=1,R50="已核对",S50&lt;&gt;""),1,0)</x:f>
        <x:v>0</x:v>
      </x:c>
    </x:row>
    <x:row r="51" ht="76" customHeight="1">
      <x:c r="A51" s="88" t="str">
        <x:v>FB045</x:v>
      </x:c>
      <x:c r="B51" s="86"/>
      <x:c r="C51" s="88" t="str">
        <x:f>IF(COUNTIFS('运行记录'!$A$7:$A$150,B51)=1,INDEX('运行记录'!$E$7:$E$150,MATCH(B51,'运行记录'!$A$7:$A$150,0)),"")</x:f>
      </x:c>
      <x:c r="D51" s="89" t="str">
        <x:f>IF(C51="","",IF(INDEX('特性清单'!$B$7:$B$18,MATCH(INDEX('运行记录'!$C$7:$C$150,MATCH(B51,'运行记录'!$A$7:$A$150,0)),'特性清单'!$A$7:$A$18,0))="","",INDEX('特性清单'!$B$7:$B$18,MATCH(INDEX('运行记录'!$C$7:$C$150,MATCH(B51,'运行记录'!$A$7:$A$150,0)),'特性清单'!$A$7:$A$18,0))))</x:f>
      </x:c>
      <x:c r="E51" s="91"/>
      <x:c r="F51" s="91"/>
      <x:c r="G51" s="91"/>
      <x:c r="H51" s="91"/>
      <x:c r="I51" s="91"/>
      <x:c r="J51" s="91"/>
      <x:c r="K51" s="91"/>
      <x:c r="L51" s="91"/>
      <x:c r="M51" s="91"/>
      <x:c r="N51" s="91"/>
      <x:c r="O51" s="91"/>
      <x:c r="P51" s="89" t="str">
        <x:f>IF(COUNTA(B51)+COUNTA(E51:O51)+COUNTA(R51:S51)=0,"待反馈",IF(OR(COUNTIFS('运行记录'!$A$7:$A$150,B51)&lt;&gt;1,COUNTIFS($A$7:$A$150,A51)&lt;&gt;1),"ID无效或重复",IF(OR(D51="",E51="",F51=""),"待补齐场景",IF(AND(J51="未体验",K51="未体验"),"未体验",IF(OR(J51="未体验",K51="未体验"),"需核对未体验",IF(COUNTA(G51:M51)&lt;&gt;7,"待补齐关键内容","已反馈"))))))</x:f>
        <x:v>待反馈</x:v>
      </x:c>
      <x:c r="Q51" s="89" t="n">
        <x:f>IF(AND(P51="已反馈",O51&lt;&gt;""),1,0)</x:f>
        <x:v>0</x:v>
      </x:c>
      <x:c r="R51" s="91"/>
      <x:c r="S51" s="91"/>
      <x:c r="T51" s="89" t="n">
        <x:f>IF(AND(P51="已反馈",Q51=1,R51="已核对",S51&lt;&gt;""),1,0)</x:f>
        <x:v>0</x:v>
      </x:c>
    </x:row>
    <x:row r="52" ht="76" customHeight="1">
      <x:c r="A52" s="88" t="str">
        <x:v>FB046</x:v>
      </x:c>
      <x:c r="B52" s="86"/>
      <x:c r="C52" s="88" t="str">
        <x:f>IF(COUNTIFS('运行记录'!$A$7:$A$150,B52)=1,INDEX('运行记录'!$E$7:$E$150,MATCH(B52,'运行记录'!$A$7:$A$150,0)),"")</x:f>
      </x:c>
      <x:c r="D52" s="89" t="str">
        <x:f>IF(C52="","",IF(INDEX('特性清单'!$B$7:$B$18,MATCH(INDEX('运行记录'!$C$7:$C$150,MATCH(B52,'运行记录'!$A$7:$A$150,0)),'特性清单'!$A$7:$A$18,0))="","",INDEX('特性清单'!$B$7:$B$18,MATCH(INDEX('运行记录'!$C$7:$C$150,MATCH(B52,'运行记录'!$A$7:$A$150,0)),'特性清单'!$A$7:$A$18,0))))</x:f>
      </x:c>
      <x:c r="E52" s="91"/>
      <x:c r="F52" s="91"/>
      <x:c r="G52" s="91"/>
      <x:c r="H52" s="91"/>
      <x:c r="I52" s="91"/>
      <x:c r="J52" s="91"/>
      <x:c r="K52" s="91"/>
      <x:c r="L52" s="91"/>
      <x:c r="M52" s="91"/>
      <x:c r="N52" s="91"/>
      <x:c r="O52" s="91"/>
      <x:c r="P52" s="89" t="str">
        <x:f>IF(COUNTA(B52)+COUNTA(E52:O52)+COUNTA(R52:S52)=0,"待反馈",IF(OR(COUNTIFS('运行记录'!$A$7:$A$150,B52)&lt;&gt;1,COUNTIFS($A$7:$A$150,A52)&lt;&gt;1),"ID无效或重复",IF(OR(D52="",E52="",F52=""),"待补齐场景",IF(AND(J52="未体验",K52="未体验"),"未体验",IF(OR(J52="未体验",K52="未体验"),"需核对未体验",IF(COUNTA(G52:M52)&lt;&gt;7,"待补齐关键内容","已反馈"))))))</x:f>
        <x:v>待反馈</x:v>
      </x:c>
      <x:c r="Q52" s="89" t="n">
        <x:f>IF(AND(P52="已反馈",O52&lt;&gt;""),1,0)</x:f>
        <x:v>0</x:v>
      </x:c>
      <x:c r="R52" s="91"/>
      <x:c r="S52" s="91"/>
      <x:c r="T52" s="89" t="n">
        <x:f>IF(AND(P52="已反馈",Q52=1,R52="已核对",S52&lt;&gt;""),1,0)</x:f>
        <x:v>0</x:v>
      </x:c>
    </x:row>
    <x:row r="53" ht="76" customHeight="1">
      <x:c r="A53" s="88" t="str">
        <x:v>FB047</x:v>
      </x:c>
      <x:c r="B53" s="86"/>
      <x:c r="C53" s="88" t="str">
        <x:f>IF(COUNTIFS('运行记录'!$A$7:$A$150,B53)=1,INDEX('运行记录'!$E$7:$E$150,MATCH(B53,'运行记录'!$A$7:$A$150,0)),"")</x:f>
      </x:c>
      <x:c r="D53" s="89" t="str">
        <x:f>IF(C53="","",IF(INDEX('特性清单'!$B$7:$B$18,MATCH(INDEX('运行记录'!$C$7:$C$150,MATCH(B53,'运行记录'!$A$7:$A$150,0)),'特性清单'!$A$7:$A$18,0))="","",INDEX('特性清单'!$B$7:$B$18,MATCH(INDEX('运行记录'!$C$7:$C$150,MATCH(B53,'运行记录'!$A$7:$A$150,0)),'特性清单'!$A$7:$A$18,0))))</x:f>
      </x:c>
      <x:c r="E53" s="91"/>
      <x:c r="F53" s="91"/>
      <x:c r="G53" s="91"/>
      <x:c r="H53" s="91"/>
      <x:c r="I53" s="91"/>
      <x:c r="J53" s="91"/>
      <x:c r="K53" s="91"/>
      <x:c r="L53" s="91"/>
      <x:c r="M53" s="91"/>
      <x:c r="N53" s="91"/>
      <x:c r="O53" s="91"/>
      <x:c r="P53" s="89" t="str">
        <x:f>IF(COUNTA(B53)+COUNTA(E53:O53)+COUNTA(R53:S53)=0,"待反馈",IF(OR(COUNTIFS('运行记录'!$A$7:$A$150,B53)&lt;&gt;1,COUNTIFS($A$7:$A$150,A53)&lt;&gt;1),"ID无效或重复",IF(OR(D53="",E53="",F53=""),"待补齐场景",IF(AND(J53="未体验",K53="未体验"),"未体验",IF(OR(J53="未体验",K53="未体验"),"需核对未体验",IF(COUNTA(G53:M53)&lt;&gt;7,"待补齐关键内容","已反馈"))))))</x:f>
        <x:v>待反馈</x:v>
      </x:c>
      <x:c r="Q53" s="89" t="n">
        <x:f>IF(AND(P53="已反馈",O53&lt;&gt;""),1,0)</x:f>
        <x:v>0</x:v>
      </x:c>
      <x:c r="R53" s="91"/>
      <x:c r="S53" s="91"/>
      <x:c r="T53" s="89" t="n">
        <x:f>IF(AND(P53="已反馈",Q53=1,R53="已核对",S53&lt;&gt;""),1,0)</x:f>
        <x:v>0</x:v>
      </x:c>
    </x:row>
    <x:row r="54" ht="76" customHeight="1">
      <x:c r="A54" s="88" t="str">
        <x:v>FB048</x:v>
      </x:c>
      <x:c r="B54" s="86"/>
      <x:c r="C54" s="88" t="str">
        <x:f>IF(COUNTIFS('运行记录'!$A$7:$A$150,B54)=1,INDEX('运行记录'!$E$7:$E$150,MATCH(B54,'运行记录'!$A$7:$A$150,0)),"")</x:f>
      </x:c>
      <x:c r="D54" s="89" t="str">
        <x:f>IF(C54="","",IF(INDEX('特性清单'!$B$7:$B$18,MATCH(INDEX('运行记录'!$C$7:$C$150,MATCH(B54,'运行记录'!$A$7:$A$150,0)),'特性清单'!$A$7:$A$18,0))="","",INDEX('特性清单'!$B$7:$B$18,MATCH(INDEX('运行记录'!$C$7:$C$150,MATCH(B54,'运行记录'!$A$7:$A$150,0)),'特性清单'!$A$7:$A$18,0))))</x:f>
      </x:c>
      <x:c r="E54" s="91"/>
      <x:c r="F54" s="91"/>
      <x:c r="G54" s="91"/>
      <x:c r="H54" s="91"/>
      <x:c r="I54" s="91"/>
      <x:c r="J54" s="91"/>
      <x:c r="K54" s="91"/>
      <x:c r="L54" s="91"/>
      <x:c r="M54" s="91"/>
      <x:c r="N54" s="91"/>
      <x:c r="O54" s="91"/>
      <x:c r="P54" s="89" t="str">
        <x:f>IF(COUNTA(B54)+COUNTA(E54:O54)+COUNTA(R54:S54)=0,"待反馈",IF(OR(COUNTIFS('运行记录'!$A$7:$A$150,B54)&lt;&gt;1,COUNTIFS($A$7:$A$150,A54)&lt;&gt;1),"ID无效或重复",IF(OR(D54="",E54="",F54=""),"待补齐场景",IF(AND(J54="未体验",K54="未体验"),"未体验",IF(OR(J54="未体验",K54="未体验"),"需核对未体验",IF(COUNTA(G54:M54)&lt;&gt;7,"待补齐关键内容","已反馈"))))))</x:f>
        <x:v>待反馈</x:v>
      </x:c>
      <x:c r="Q54" s="89" t="n">
        <x:f>IF(AND(P54="已反馈",O54&lt;&gt;""),1,0)</x:f>
        <x:v>0</x:v>
      </x:c>
      <x:c r="R54" s="91"/>
      <x:c r="S54" s="91"/>
      <x:c r="T54" s="89" t="n">
        <x:f>IF(AND(P54="已反馈",Q54=1,R54="已核对",S54&lt;&gt;""),1,0)</x:f>
        <x:v>0</x:v>
      </x:c>
    </x:row>
    <x:row r="55" ht="76" customHeight="1">
      <x:c r="A55" s="88" t="str">
        <x:v>FB049</x:v>
      </x:c>
      <x:c r="B55" s="86"/>
      <x:c r="C55" s="88" t="str">
        <x:f>IF(COUNTIFS('运行记录'!$A$7:$A$150,B55)=1,INDEX('运行记录'!$E$7:$E$150,MATCH(B55,'运行记录'!$A$7:$A$150,0)),"")</x:f>
      </x:c>
      <x:c r="D55" s="89" t="str">
        <x:f>IF(C55="","",IF(INDEX('特性清单'!$B$7:$B$18,MATCH(INDEX('运行记录'!$C$7:$C$150,MATCH(B55,'运行记录'!$A$7:$A$150,0)),'特性清单'!$A$7:$A$18,0))="","",INDEX('特性清单'!$B$7:$B$18,MATCH(INDEX('运行记录'!$C$7:$C$150,MATCH(B55,'运行记录'!$A$7:$A$150,0)),'特性清单'!$A$7:$A$18,0))))</x:f>
      </x:c>
      <x:c r="E55" s="91"/>
      <x:c r="F55" s="91"/>
      <x:c r="G55" s="91"/>
      <x:c r="H55" s="91"/>
      <x:c r="I55" s="91"/>
      <x:c r="J55" s="91"/>
      <x:c r="K55" s="91"/>
      <x:c r="L55" s="91"/>
      <x:c r="M55" s="91"/>
      <x:c r="N55" s="91"/>
      <x:c r="O55" s="91"/>
      <x:c r="P55" s="89" t="str">
        <x:f>IF(COUNTA(B55)+COUNTA(E55:O55)+COUNTA(R55:S55)=0,"待反馈",IF(OR(COUNTIFS('运行记录'!$A$7:$A$150,B55)&lt;&gt;1,COUNTIFS($A$7:$A$150,A55)&lt;&gt;1),"ID无效或重复",IF(OR(D55="",E55="",F55=""),"待补齐场景",IF(AND(J55="未体验",K55="未体验"),"未体验",IF(OR(J55="未体验",K55="未体验"),"需核对未体验",IF(COUNTA(G55:M55)&lt;&gt;7,"待补齐关键内容","已反馈"))))))</x:f>
        <x:v>待反馈</x:v>
      </x:c>
      <x:c r="Q55" s="89" t="n">
        <x:f>IF(AND(P55="已反馈",O55&lt;&gt;""),1,0)</x:f>
        <x:v>0</x:v>
      </x:c>
      <x:c r="R55" s="91"/>
      <x:c r="S55" s="91"/>
      <x:c r="T55" s="89" t="n">
        <x:f>IF(AND(P55="已反馈",Q55=1,R55="已核对",S55&lt;&gt;""),1,0)</x:f>
        <x:v>0</x:v>
      </x:c>
    </x:row>
    <x:row r="56" ht="76" customHeight="1">
      <x:c r="A56" s="88" t="str">
        <x:v>FB050</x:v>
      </x:c>
      <x:c r="B56" s="86"/>
      <x:c r="C56" s="88" t="str">
        <x:f>IF(COUNTIFS('运行记录'!$A$7:$A$150,B56)=1,INDEX('运行记录'!$E$7:$E$150,MATCH(B56,'运行记录'!$A$7:$A$150,0)),"")</x:f>
      </x:c>
      <x:c r="D56" s="89" t="str">
        <x:f>IF(C56="","",IF(INDEX('特性清单'!$B$7:$B$18,MATCH(INDEX('运行记录'!$C$7:$C$150,MATCH(B56,'运行记录'!$A$7:$A$150,0)),'特性清单'!$A$7:$A$18,0))="","",INDEX('特性清单'!$B$7:$B$18,MATCH(INDEX('运行记录'!$C$7:$C$150,MATCH(B56,'运行记录'!$A$7:$A$150,0)),'特性清单'!$A$7:$A$18,0))))</x:f>
      </x:c>
      <x:c r="E56" s="91"/>
      <x:c r="F56" s="91"/>
      <x:c r="G56" s="91"/>
      <x:c r="H56" s="91"/>
      <x:c r="I56" s="91"/>
      <x:c r="J56" s="91"/>
      <x:c r="K56" s="91"/>
      <x:c r="L56" s="91"/>
      <x:c r="M56" s="91"/>
      <x:c r="N56" s="91"/>
      <x:c r="O56" s="91"/>
      <x:c r="P56" s="89" t="str">
        <x:f>IF(COUNTA(B56)+COUNTA(E56:O56)+COUNTA(R56:S56)=0,"待反馈",IF(OR(COUNTIFS('运行记录'!$A$7:$A$150,B56)&lt;&gt;1,COUNTIFS($A$7:$A$150,A56)&lt;&gt;1),"ID无效或重复",IF(OR(D56="",E56="",F56=""),"待补齐场景",IF(AND(J56="未体验",K56="未体验"),"未体验",IF(OR(J56="未体验",K56="未体验"),"需核对未体验",IF(COUNTA(G56:M56)&lt;&gt;7,"待补齐关键内容","已反馈"))))))</x:f>
        <x:v>待反馈</x:v>
      </x:c>
      <x:c r="Q56" s="89" t="n">
        <x:f>IF(AND(P56="已反馈",O56&lt;&gt;""),1,0)</x:f>
        <x:v>0</x:v>
      </x:c>
      <x:c r="R56" s="91"/>
      <x:c r="S56" s="91"/>
      <x:c r="T56" s="89" t="n">
        <x:f>IF(AND(P56="已反馈",Q56=1,R56="已核对",S56&lt;&gt;""),1,0)</x:f>
        <x:v>0</x:v>
      </x:c>
    </x:row>
    <x:row r="57" ht="76" customHeight="1">
      <x:c r="A57" s="88" t="str">
        <x:v>FB051</x:v>
      </x:c>
      <x:c r="B57" s="86"/>
      <x:c r="C57" s="88" t="str">
        <x:f>IF(COUNTIFS('运行记录'!$A$7:$A$150,B57)=1,INDEX('运行记录'!$E$7:$E$150,MATCH(B57,'运行记录'!$A$7:$A$150,0)),"")</x:f>
      </x:c>
      <x:c r="D57" s="89" t="str">
        <x:f>IF(C57="","",IF(INDEX('特性清单'!$B$7:$B$18,MATCH(INDEX('运行记录'!$C$7:$C$150,MATCH(B57,'运行记录'!$A$7:$A$150,0)),'特性清单'!$A$7:$A$18,0))="","",INDEX('特性清单'!$B$7:$B$18,MATCH(INDEX('运行记录'!$C$7:$C$150,MATCH(B57,'运行记录'!$A$7:$A$150,0)),'特性清单'!$A$7:$A$18,0))))</x:f>
      </x:c>
      <x:c r="E57" s="91"/>
      <x:c r="F57" s="91"/>
      <x:c r="G57" s="91"/>
      <x:c r="H57" s="91"/>
      <x:c r="I57" s="91"/>
      <x:c r="J57" s="91"/>
      <x:c r="K57" s="91"/>
      <x:c r="L57" s="91"/>
      <x:c r="M57" s="91"/>
      <x:c r="N57" s="91"/>
      <x:c r="O57" s="91"/>
      <x:c r="P57" s="89" t="str">
        <x:f>IF(COUNTA(B57)+COUNTA(E57:O57)+COUNTA(R57:S57)=0,"待反馈",IF(OR(COUNTIFS('运行记录'!$A$7:$A$150,B57)&lt;&gt;1,COUNTIFS($A$7:$A$150,A57)&lt;&gt;1),"ID无效或重复",IF(OR(D57="",E57="",F57=""),"待补齐场景",IF(AND(J57="未体验",K57="未体验"),"未体验",IF(OR(J57="未体验",K57="未体验"),"需核对未体验",IF(COUNTA(G57:M57)&lt;&gt;7,"待补齐关键内容","已反馈"))))))</x:f>
        <x:v>待反馈</x:v>
      </x:c>
      <x:c r="Q57" s="89" t="n">
        <x:f>IF(AND(P57="已反馈",O57&lt;&gt;""),1,0)</x:f>
        <x:v>0</x:v>
      </x:c>
      <x:c r="R57" s="91"/>
      <x:c r="S57" s="91"/>
      <x:c r="T57" s="89" t="n">
        <x:f>IF(AND(P57="已反馈",Q57=1,R57="已核对",S57&lt;&gt;""),1,0)</x:f>
        <x:v>0</x:v>
      </x:c>
    </x:row>
    <x:row r="58" ht="76" customHeight="1">
      <x:c r="A58" s="88" t="str">
        <x:v>FB052</x:v>
      </x:c>
      <x:c r="B58" s="86"/>
      <x:c r="C58" s="88" t="str">
        <x:f>IF(COUNTIFS('运行记录'!$A$7:$A$150,B58)=1,INDEX('运行记录'!$E$7:$E$150,MATCH(B58,'运行记录'!$A$7:$A$150,0)),"")</x:f>
      </x:c>
      <x:c r="D58" s="89" t="str">
        <x:f>IF(C58="","",IF(INDEX('特性清单'!$B$7:$B$18,MATCH(INDEX('运行记录'!$C$7:$C$150,MATCH(B58,'运行记录'!$A$7:$A$150,0)),'特性清单'!$A$7:$A$18,0))="","",INDEX('特性清单'!$B$7:$B$18,MATCH(INDEX('运行记录'!$C$7:$C$150,MATCH(B58,'运行记录'!$A$7:$A$150,0)),'特性清单'!$A$7:$A$18,0))))</x:f>
      </x:c>
      <x:c r="E58" s="91"/>
      <x:c r="F58" s="91"/>
      <x:c r="G58" s="91"/>
      <x:c r="H58" s="91"/>
      <x:c r="I58" s="91"/>
      <x:c r="J58" s="91"/>
      <x:c r="K58" s="91"/>
      <x:c r="L58" s="91"/>
      <x:c r="M58" s="91"/>
      <x:c r="N58" s="91"/>
      <x:c r="O58" s="91"/>
      <x:c r="P58" s="89" t="str">
        <x:f>IF(COUNTA(B58)+COUNTA(E58:O58)+COUNTA(R58:S58)=0,"待反馈",IF(OR(COUNTIFS('运行记录'!$A$7:$A$150,B58)&lt;&gt;1,COUNTIFS($A$7:$A$150,A58)&lt;&gt;1),"ID无效或重复",IF(OR(D58="",E58="",F58=""),"待补齐场景",IF(AND(J58="未体验",K58="未体验"),"未体验",IF(OR(J58="未体验",K58="未体验"),"需核对未体验",IF(COUNTA(G58:M58)&lt;&gt;7,"待补齐关键内容","已反馈"))))))</x:f>
        <x:v>待反馈</x:v>
      </x:c>
      <x:c r="Q58" s="89" t="n">
        <x:f>IF(AND(P58="已反馈",O58&lt;&gt;""),1,0)</x:f>
        <x:v>0</x:v>
      </x:c>
      <x:c r="R58" s="91"/>
      <x:c r="S58" s="91"/>
      <x:c r="T58" s="89" t="n">
        <x:f>IF(AND(P58="已反馈",Q58=1,R58="已核对",S58&lt;&gt;""),1,0)</x:f>
        <x:v>0</x:v>
      </x:c>
    </x:row>
    <x:row r="59" ht="76" customHeight="1">
      <x:c r="A59" s="88" t="str">
        <x:v>FB053</x:v>
      </x:c>
      <x:c r="B59" s="86"/>
      <x:c r="C59" s="88" t="str">
        <x:f>IF(COUNTIFS('运行记录'!$A$7:$A$150,B59)=1,INDEX('运行记录'!$E$7:$E$150,MATCH(B59,'运行记录'!$A$7:$A$150,0)),"")</x:f>
      </x:c>
      <x:c r="D59" s="89" t="str">
        <x:f>IF(C59="","",IF(INDEX('特性清单'!$B$7:$B$18,MATCH(INDEX('运行记录'!$C$7:$C$150,MATCH(B59,'运行记录'!$A$7:$A$150,0)),'特性清单'!$A$7:$A$18,0))="","",INDEX('特性清单'!$B$7:$B$18,MATCH(INDEX('运行记录'!$C$7:$C$150,MATCH(B59,'运行记录'!$A$7:$A$150,0)),'特性清单'!$A$7:$A$18,0))))</x:f>
      </x:c>
      <x:c r="E59" s="91"/>
      <x:c r="F59" s="91"/>
      <x:c r="G59" s="91"/>
      <x:c r="H59" s="91"/>
      <x:c r="I59" s="91"/>
      <x:c r="J59" s="91"/>
      <x:c r="K59" s="91"/>
      <x:c r="L59" s="91"/>
      <x:c r="M59" s="91"/>
      <x:c r="N59" s="91"/>
      <x:c r="O59" s="91"/>
      <x:c r="P59" s="89" t="str">
        <x:f>IF(COUNTA(B59)+COUNTA(E59:O59)+COUNTA(R59:S59)=0,"待反馈",IF(OR(COUNTIFS('运行记录'!$A$7:$A$150,B59)&lt;&gt;1,COUNTIFS($A$7:$A$150,A59)&lt;&gt;1),"ID无效或重复",IF(OR(D59="",E59="",F59=""),"待补齐场景",IF(AND(J59="未体验",K59="未体验"),"未体验",IF(OR(J59="未体验",K59="未体验"),"需核对未体验",IF(COUNTA(G59:M59)&lt;&gt;7,"待补齐关键内容","已反馈"))))))</x:f>
        <x:v>待反馈</x:v>
      </x:c>
      <x:c r="Q59" s="89" t="n">
        <x:f>IF(AND(P59="已反馈",O59&lt;&gt;""),1,0)</x:f>
        <x:v>0</x:v>
      </x:c>
      <x:c r="R59" s="91"/>
      <x:c r="S59" s="91"/>
      <x:c r="T59" s="89" t="n">
        <x:f>IF(AND(P59="已反馈",Q59=1,R59="已核对",S59&lt;&gt;""),1,0)</x:f>
        <x:v>0</x:v>
      </x:c>
    </x:row>
    <x:row r="60" ht="76" customHeight="1">
      <x:c r="A60" s="88" t="str">
        <x:v>FB054</x:v>
      </x:c>
      <x:c r="B60" s="86"/>
      <x:c r="C60" s="88" t="str">
        <x:f>IF(COUNTIFS('运行记录'!$A$7:$A$150,B60)=1,INDEX('运行记录'!$E$7:$E$150,MATCH(B60,'运行记录'!$A$7:$A$150,0)),"")</x:f>
      </x:c>
      <x:c r="D60" s="89" t="str">
        <x:f>IF(C60="","",IF(INDEX('特性清单'!$B$7:$B$18,MATCH(INDEX('运行记录'!$C$7:$C$150,MATCH(B60,'运行记录'!$A$7:$A$150,0)),'特性清单'!$A$7:$A$18,0))="","",INDEX('特性清单'!$B$7:$B$18,MATCH(INDEX('运行记录'!$C$7:$C$150,MATCH(B60,'运行记录'!$A$7:$A$150,0)),'特性清单'!$A$7:$A$18,0))))</x:f>
      </x:c>
      <x:c r="E60" s="91"/>
      <x:c r="F60" s="91"/>
      <x:c r="G60" s="91"/>
      <x:c r="H60" s="91"/>
      <x:c r="I60" s="91"/>
      <x:c r="J60" s="91"/>
      <x:c r="K60" s="91"/>
      <x:c r="L60" s="91"/>
      <x:c r="M60" s="91"/>
      <x:c r="N60" s="91"/>
      <x:c r="O60" s="91"/>
      <x:c r="P60" s="89" t="str">
        <x:f>IF(COUNTA(B60)+COUNTA(E60:O60)+COUNTA(R60:S60)=0,"待反馈",IF(OR(COUNTIFS('运行记录'!$A$7:$A$150,B60)&lt;&gt;1,COUNTIFS($A$7:$A$150,A60)&lt;&gt;1),"ID无效或重复",IF(OR(D60="",E60="",F60=""),"待补齐场景",IF(AND(J60="未体验",K60="未体验"),"未体验",IF(OR(J60="未体验",K60="未体验"),"需核对未体验",IF(COUNTA(G60:M60)&lt;&gt;7,"待补齐关键内容","已反馈"))))))</x:f>
        <x:v>待反馈</x:v>
      </x:c>
      <x:c r="Q60" s="89" t="n">
        <x:f>IF(AND(P60="已反馈",O60&lt;&gt;""),1,0)</x:f>
        <x:v>0</x:v>
      </x:c>
      <x:c r="R60" s="91"/>
      <x:c r="S60" s="91"/>
      <x:c r="T60" s="89" t="n">
        <x:f>IF(AND(P60="已反馈",Q60=1,R60="已核对",S60&lt;&gt;""),1,0)</x:f>
        <x:v>0</x:v>
      </x:c>
    </x:row>
    <x:row r="61" ht="76" customHeight="1">
      <x:c r="A61" s="88" t="str">
        <x:v>FB055</x:v>
      </x:c>
      <x:c r="B61" s="86"/>
      <x:c r="C61" s="88" t="str">
        <x:f>IF(COUNTIFS('运行记录'!$A$7:$A$150,B61)=1,INDEX('运行记录'!$E$7:$E$150,MATCH(B61,'运行记录'!$A$7:$A$150,0)),"")</x:f>
      </x:c>
      <x:c r="D61" s="89" t="str">
        <x:f>IF(C61="","",IF(INDEX('特性清单'!$B$7:$B$18,MATCH(INDEX('运行记录'!$C$7:$C$150,MATCH(B61,'运行记录'!$A$7:$A$150,0)),'特性清单'!$A$7:$A$18,0))="","",INDEX('特性清单'!$B$7:$B$18,MATCH(INDEX('运行记录'!$C$7:$C$150,MATCH(B61,'运行记录'!$A$7:$A$150,0)),'特性清单'!$A$7:$A$18,0))))</x:f>
      </x:c>
      <x:c r="E61" s="91"/>
      <x:c r="F61" s="91"/>
      <x:c r="G61" s="91"/>
      <x:c r="H61" s="91"/>
      <x:c r="I61" s="91"/>
      <x:c r="J61" s="91"/>
      <x:c r="K61" s="91"/>
      <x:c r="L61" s="91"/>
      <x:c r="M61" s="91"/>
      <x:c r="N61" s="91"/>
      <x:c r="O61" s="91"/>
      <x:c r="P61" s="89" t="str">
        <x:f>IF(COUNTA(B61)+COUNTA(E61:O61)+COUNTA(R61:S61)=0,"待反馈",IF(OR(COUNTIFS('运行记录'!$A$7:$A$150,B61)&lt;&gt;1,COUNTIFS($A$7:$A$150,A61)&lt;&gt;1),"ID无效或重复",IF(OR(D61="",E61="",F61=""),"待补齐场景",IF(AND(J61="未体验",K61="未体验"),"未体验",IF(OR(J61="未体验",K61="未体验"),"需核对未体验",IF(COUNTA(G61:M61)&lt;&gt;7,"待补齐关键内容","已反馈"))))))</x:f>
        <x:v>待反馈</x:v>
      </x:c>
      <x:c r="Q61" s="89" t="n">
        <x:f>IF(AND(P61="已反馈",O61&lt;&gt;""),1,0)</x:f>
        <x:v>0</x:v>
      </x:c>
      <x:c r="R61" s="91"/>
      <x:c r="S61" s="91"/>
      <x:c r="T61" s="89" t="n">
        <x:f>IF(AND(P61="已反馈",Q61=1,R61="已核对",S61&lt;&gt;""),1,0)</x:f>
        <x:v>0</x:v>
      </x:c>
    </x:row>
    <x:row r="62" ht="76" customHeight="1">
      <x:c r="A62" s="88" t="str">
        <x:v>FB056</x:v>
      </x:c>
      <x:c r="B62" s="86"/>
      <x:c r="C62" s="88" t="str">
        <x:f>IF(COUNTIFS('运行记录'!$A$7:$A$150,B62)=1,INDEX('运行记录'!$E$7:$E$150,MATCH(B62,'运行记录'!$A$7:$A$150,0)),"")</x:f>
      </x:c>
      <x:c r="D62" s="89" t="str">
        <x:f>IF(C62="","",IF(INDEX('特性清单'!$B$7:$B$18,MATCH(INDEX('运行记录'!$C$7:$C$150,MATCH(B62,'运行记录'!$A$7:$A$150,0)),'特性清单'!$A$7:$A$18,0))="","",INDEX('特性清单'!$B$7:$B$18,MATCH(INDEX('运行记录'!$C$7:$C$150,MATCH(B62,'运行记录'!$A$7:$A$150,0)),'特性清单'!$A$7:$A$18,0))))</x:f>
      </x:c>
      <x:c r="E62" s="91"/>
      <x:c r="F62" s="91"/>
      <x:c r="G62" s="91"/>
      <x:c r="H62" s="91"/>
      <x:c r="I62" s="91"/>
      <x:c r="J62" s="91"/>
      <x:c r="K62" s="91"/>
      <x:c r="L62" s="91"/>
      <x:c r="M62" s="91"/>
      <x:c r="N62" s="91"/>
      <x:c r="O62" s="91"/>
      <x:c r="P62" s="89" t="str">
        <x:f>IF(COUNTA(B62)+COUNTA(E62:O62)+COUNTA(R62:S62)=0,"待反馈",IF(OR(COUNTIFS('运行记录'!$A$7:$A$150,B62)&lt;&gt;1,COUNTIFS($A$7:$A$150,A62)&lt;&gt;1),"ID无效或重复",IF(OR(D62="",E62="",F62=""),"待补齐场景",IF(AND(J62="未体验",K62="未体验"),"未体验",IF(OR(J62="未体验",K62="未体验"),"需核对未体验",IF(COUNTA(G62:M62)&lt;&gt;7,"待补齐关键内容","已反馈"))))))</x:f>
        <x:v>待反馈</x:v>
      </x:c>
      <x:c r="Q62" s="89" t="n">
        <x:f>IF(AND(P62="已反馈",O62&lt;&gt;""),1,0)</x:f>
        <x:v>0</x:v>
      </x:c>
      <x:c r="R62" s="91"/>
      <x:c r="S62" s="91"/>
      <x:c r="T62" s="89" t="n">
        <x:f>IF(AND(P62="已反馈",Q62=1,R62="已核对",S62&lt;&gt;""),1,0)</x:f>
        <x:v>0</x:v>
      </x:c>
    </x:row>
    <x:row r="63" ht="76" customHeight="1">
      <x:c r="A63" s="88" t="str">
        <x:v>FB057</x:v>
      </x:c>
      <x:c r="B63" s="86"/>
      <x:c r="C63" s="88" t="str">
        <x:f>IF(COUNTIFS('运行记录'!$A$7:$A$150,B63)=1,INDEX('运行记录'!$E$7:$E$150,MATCH(B63,'运行记录'!$A$7:$A$150,0)),"")</x:f>
      </x:c>
      <x:c r="D63" s="89" t="str">
        <x:f>IF(C63="","",IF(INDEX('特性清单'!$B$7:$B$18,MATCH(INDEX('运行记录'!$C$7:$C$150,MATCH(B63,'运行记录'!$A$7:$A$150,0)),'特性清单'!$A$7:$A$18,0))="","",INDEX('特性清单'!$B$7:$B$18,MATCH(INDEX('运行记录'!$C$7:$C$150,MATCH(B63,'运行记录'!$A$7:$A$150,0)),'特性清单'!$A$7:$A$18,0))))</x:f>
      </x:c>
      <x:c r="E63" s="91"/>
      <x:c r="F63" s="91"/>
      <x:c r="G63" s="91"/>
      <x:c r="H63" s="91"/>
      <x:c r="I63" s="91"/>
      <x:c r="J63" s="91"/>
      <x:c r="K63" s="91"/>
      <x:c r="L63" s="91"/>
      <x:c r="M63" s="91"/>
      <x:c r="N63" s="91"/>
      <x:c r="O63" s="91"/>
      <x:c r="P63" s="89" t="str">
        <x:f>IF(COUNTA(B63)+COUNTA(E63:O63)+COUNTA(R63:S63)=0,"待反馈",IF(OR(COUNTIFS('运行记录'!$A$7:$A$150,B63)&lt;&gt;1,COUNTIFS($A$7:$A$150,A63)&lt;&gt;1),"ID无效或重复",IF(OR(D63="",E63="",F63=""),"待补齐场景",IF(AND(J63="未体验",K63="未体验"),"未体验",IF(OR(J63="未体验",K63="未体验"),"需核对未体验",IF(COUNTA(G63:M63)&lt;&gt;7,"待补齐关键内容","已反馈"))))))</x:f>
        <x:v>待反馈</x:v>
      </x:c>
      <x:c r="Q63" s="89" t="n">
        <x:f>IF(AND(P63="已反馈",O63&lt;&gt;""),1,0)</x:f>
        <x:v>0</x:v>
      </x:c>
      <x:c r="R63" s="91"/>
      <x:c r="S63" s="91"/>
      <x:c r="T63" s="89" t="n">
        <x:f>IF(AND(P63="已反馈",Q63=1,R63="已核对",S63&lt;&gt;""),1,0)</x:f>
        <x:v>0</x:v>
      </x:c>
    </x:row>
    <x:row r="64" ht="76" customHeight="1">
      <x:c r="A64" s="88" t="str">
        <x:v>FB058</x:v>
      </x:c>
      <x:c r="B64" s="86"/>
      <x:c r="C64" s="88" t="str">
        <x:f>IF(COUNTIFS('运行记录'!$A$7:$A$150,B64)=1,INDEX('运行记录'!$E$7:$E$150,MATCH(B64,'运行记录'!$A$7:$A$150,0)),"")</x:f>
      </x:c>
      <x:c r="D64" s="89" t="str">
        <x:f>IF(C64="","",IF(INDEX('特性清单'!$B$7:$B$18,MATCH(INDEX('运行记录'!$C$7:$C$150,MATCH(B64,'运行记录'!$A$7:$A$150,0)),'特性清单'!$A$7:$A$18,0))="","",INDEX('特性清单'!$B$7:$B$18,MATCH(INDEX('运行记录'!$C$7:$C$150,MATCH(B64,'运行记录'!$A$7:$A$150,0)),'特性清单'!$A$7:$A$18,0))))</x:f>
      </x:c>
      <x:c r="E64" s="91"/>
      <x:c r="F64" s="91"/>
      <x:c r="G64" s="91"/>
      <x:c r="H64" s="91"/>
      <x:c r="I64" s="91"/>
      <x:c r="J64" s="91"/>
      <x:c r="K64" s="91"/>
      <x:c r="L64" s="91"/>
      <x:c r="M64" s="91"/>
      <x:c r="N64" s="91"/>
      <x:c r="O64" s="91"/>
      <x:c r="P64" s="89" t="str">
        <x:f>IF(COUNTA(B64)+COUNTA(E64:O64)+COUNTA(R64:S64)=0,"待反馈",IF(OR(COUNTIFS('运行记录'!$A$7:$A$150,B64)&lt;&gt;1,COUNTIFS($A$7:$A$150,A64)&lt;&gt;1),"ID无效或重复",IF(OR(D64="",E64="",F64=""),"待补齐场景",IF(AND(J64="未体验",K64="未体验"),"未体验",IF(OR(J64="未体验",K64="未体验"),"需核对未体验",IF(COUNTA(G64:M64)&lt;&gt;7,"待补齐关键内容","已反馈"))))))</x:f>
        <x:v>待反馈</x:v>
      </x:c>
      <x:c r="Q64" s="89" t="n">
        <x:f>IF(AND(P64="已反馈",O64&lt;&gt;""),1,0)</x:f>
        <x:v>0</x:v>
      </x:c>
      <x:c r="R64" s="91"/>
      <x:c r="S64" s="91"/>
      <x:c r="T64" s="89" t="n">
        <x:f>IF(AND(P64="已反馈",Q64=1,R64="已核对",S64&lt;&gt;""),1,0)</x:f>
        <x:v>0</x:v>
      </x:c>
    </x:row>
    <x:row r="65" ht="76" customHeight="1">
      <x:c r="A65" s="88" t="str">
        <x:v>FB059</x:v>
      </x:c>
      <x:c r="B65" s="86"/>
      <x:c r="C65" s="88" t="str">
        <x:f>IF(COUNTIFS('运行记录'!$A$7:$A$150,B65)=1,INDEX('运行记录'!$E$7:$E$150,MATCH(B65,'运行记录'!$A$7:$A$150,0)),"")</x:f>
      </x:c>
      <x:c r="D65" s="89" t="str">
        <x:f>IF(C65="","",IF(INDEX('特性清单'!$B$7:$B$18,MATCH(INDEX('运行记录'!$C$7:$C$150,MATCH(B65,'运行记录'!$A$7:$A$150,0)),'特性清单'!$A$7:$A$18,0))="","",INDEX('特性清单'!$B$7:$B$18,MATCH(INDEX('运行记录'!$C$7:$C$150,MATCH(B65,'运行记录'!$A$7:$A$150,0)),'特性清单'!$A$7:$A$18,0))))</x:f>
      </x:c>
      <x:c r="E65" s="91"/>
      <x:c r="F65" s="91"/>
      <x:c r="G65" s="91"/>
      <x:c r="H65" s="91"/>
      <x:c r="I65" s="91"/>
      <x:c r="J65" s="91"/>
      <x:c r="K65" s="91"/>
      <x:c r="L65" s="91"/>
      <x:c r="M65" s="91"/>
      <x:c r="N65" s="91"/>
      <x:c r="O65" s="91"/>
      <x:c r="P65" s="89" t="str">
        <x:f>IF(COUNTA(B65)+COUNTA(E65:O65)+COUNTA(R65:S65)=0,"待反馈",IF(OR(COUNTIFS('运行记录'!$A$7:$A$150,B65)&lt;&gt;1,COUNTIFS($A$7:$A$150,A65)&lt;&gt;1),"ID无效或重复",IF(OR(D65="",E65="",F65=""),"待补齐场景",IF(AND(J65="未体验",K65="未体验"),"未体验",IF(OR(J65="未体验",K65="未体验"),"需核对未体验",IF(COUNTA(G65:M65)&lt;&gt;7,"待补齐关键内容","已反馈"))))))</x:f>
        <x:v>待反馈</x:v>
      </x:c>
      <x:c r="Q65" s="89" t="n">
        <x:f>IF(AND(P65="已反馈",O65&lt;&gt;""),1,0)</x:f>
        <x:v>0</x:v>
      </x:c>
      <x:c r="R65" s="91"/>
      <x:c r="S65" s="91"/>
      <x:c r="T65" s="89" t="n">
        <x:f>IF(AND(P65="已反馈",Q65=1,R65="已核对",S65&lt;&gt;""),1,0)</x:f>
        <x:v>0</x:v>
      </x:c>
    </x:row>
    <x:row r="66" ht="76" customHeight="1">
      <x:c r="A66" s="88" t="str">
        <x:v>FB060</x:v>
      </x:c>
      <x:c r="B66" s="86"/>
      <x:c r="C66" s="88" t="str">
        <x:f>IF(COUNTIFS('运行记录'!$A$7:$A$150,B66)=1,INDEX('运行记录'!$E$7:$E$150,MATCH(B66,'运行记录'!$A$7:$A$150,0)),"")</x:f>
      </x:c>
      <x:c r="D66" s="89" t="str">
        <x:f>IF(C66="","",IF(INDEX('特性清单'!$B$7:$B$18,MATCH(INDEX('运行记录'!$C$7:$C$150,MATCH(B66,'运行记录'!$A$7:$A$150,0)),'特性清单'!$A$7:$A$18,0))="","",INDEX('特性清单'!$B$7:$B$18,MATCH(INDEX('运行记录'!$C$7:$C$150,MATCH(B66,'运行记录'!$A$7:$A$150,0)),'特性清单'!$A$7:$A$18,0))))</x:f>
      </x:c>
      <x:c r="E66" s="91"/>
      <x:c r="F66" s="91"/>
      <x:c r="G66" s="91"/>
      <x:c r="H66" s="91"/>
      <x:c r="I66" s="91"/>
      <x:c r="J66" s="91"/>
      <x:c r="K66" s="91"/>
      <x:c r="L66" s="91"/>
      <x:c r="M66" s="91"/>
      <x:c r="N66" s="91"/>
      <x:c r="O66" s="91"/>
      <x:c r="P66" s="89" t="str">
        <x:f>IF(COUNTA(B66)+COUNTA(E66:O66)+COUNTA(R66:S66)=0,"待反馈",IF(OR(COUNTIFS('运行记录'!$A$7:$A$150,B66)&lt;&gt;1,COUNTIFS($A$7:$A$150,A66)&lt;&gt;1),"ID无效或重复",IF(OR(D66="",E66="",F66=""),"待补齐场景",IF(AND(J66="未体验",K66="未体验"),"未体验",IF(OR(J66="未体验",K66="未体验"),"需核对未体验",IF(COUNTA(G66:M66)&lt;&gt;7,"待补齐关键内容","已反馈"))))))</x:f>
        <x:v>待反馈</x:v>
      </x:c>
      <x:c r="Q66" s="89" t="n">
        <x:f>IF(AND(P66="已反馈",O66&lt;&gt;""),1,0)</x:f>
        <x:v>0</x:v>
      </x:c>
      <x:c r="R66" s="91"/>
      <x:c r="S66" s="91"/>
      <x:c r="T66" s="89" t="n">
        <x:f>IF(AND(P66="已反馈",Q66=1,R66="已核对",S66&lt;&gt;""),1,0)</x:f>
        <x:v>0</x:v>
      </x:c>
    </x:row>
    <x:row r="67" ht="76" customHeight="1">
      <x:c r="A67" s="88" t="str">
        <x:v>FB061</x:v>
      </x:c>
      <x:c r="B67" s="86"/>
      <x:c r="C67" s="88" t="str">
        <x:f>IF(COUNTIFS('运行记录'!$A$7:$A$150,B67)=1,INDEX('运行记录'!$E$7:$E$150,MATCH(B67,'运行记录'!$A$7:$A$150,0)),"")</x:f>
      </x:c>
      <x:c r="D67" s="89" t="str">
        <x:f>IF(C67="","",IF(INDEX('特性清单'!$B$7:$B$18,MATCH(INDEX('运行记录'!$C$7:$C$150,MATCH(B67,'运行记录'!$A$7:$A$150,0)),'特性清单'!$A$7:$A$18,0))="","",INDEX('特性清单'!$B$7:$B$18,MATCH(INDEX('运行记录'!$C$7:$C$150,MATCH(B67,'运行记录'!$A$7:$A$150,0)),'特性清单'!$A$7:$A$18,0))))</x:f>
      </x:c>
      <x:c r="E67" s="91"/>
      <x:c r="F67" s="91"/>
      <x:c r="G67" s="91"/>
      <x:c r="H67" s="91"/>
      <x:c r="I67" s="91"/>
      <x:c r="J67" s="91"/>
      <x:c r="K67" s="91"/>
      <x:c r="L67" s="91"/>
      <x:c r="M67" s="91"/>
      <x:c r="N67" s="91"/>
      <x:c r="O67" s="91"/>
      <x:c r="P67" s="89" t="str">
        <x:f>IF(COUNTA(B67)+COUNTA(E67:O67)+COUNTA(R67:S67)=0,"待反馈",IF(OR(COUNTIFS('运行记录'!$A$7:$A$150,B67)&lt;&gt;1,COUNTIFS($A$7:$A$150,A67)&lt;&gt;1),"ID无效或重复",IF(OR(D67="",E67="",F67=""),"待补齐场景",IF(AND(J67="未体验",K67="未体验"),"未体验",IF(OR(J67="未体验",K67="未体验"),"需核对未体验",IF(COUNTA(G67:M67)&lt;&gt;7,"待补齐关键内容","已反馈"))))))</x:f>
        <x:v>待反馈</x:v>
      </x:c>
      <x:c r="Q67" s="89" t="n">
        <x:f>IF(AND(P67="已反馈",O67&lt;&gt;""),1,0)</x:f>
        <x:v>0</x:v>
      </x:c>
      <x:c r="R67" s="91"/>
      <x:c r="S67" s="91"/>
      <x:c r="T67" s="89" t="n">
        <x:f>IF(AND(P67="已反馈",Q67=1,R67="已核对",S67&lt;&gt;""),1,0)</x:f>
        <x:v>0</x:v>
      </x:c>
    </x:row>
    <x:row r="68" ht="76" customHeight="1">
      <x:c r="A68" s="88" t="str">
        <x:v>FB062</x:v>
      </x:c>
      <x:c r="B68" s="86"/>
      <x:c r="C68" s="88" t="str">
        <x:f>IF(COUNTIFS('运行记录'!$A$7:$A$150,B68)=1,INDEX('运行记录'!$E$7:$E$150,MATCH(B68,'运行记录'!$A$7:$A$150,0)),"")</x:f>
      </x:c>
      <x:c r="D68" s="89" t="str">
        <x:f>IF(C68="","",IF(INDEX('特性清单'!$B$7:$B$18,MATCH(INDEX('运行记录'!$C$7:$C$150,MATCH(B68,'运行记录'!$A$7:$A$150,0)),'特性清单'!$A$7:$A$18,0))="","",INDEX('特性清单'!$B$7:$B$18,MATCH(INDEX('运行记录'!$C$7:$C$150,MATCH(B68,'运行记录'!$A$7:$A$150,0)),'特性清单'!$A$7:$A$18,0))))</x:f>
      </x:c>
      <x:c r="E68" s="91"/>
      <x:c r="F68" s="91"/>
      <x:c r="G68" s="91"/>
      <x:c r="H68" s="91"/>
      <x:c r="I68" s="91"/>
      <x:c r="J68" s="91"/>
      <x:c r="K68" s="91"/>
      <x:c r="L68" s="91"/>
      <x:c r="M68" s="91"/>
      <x:c r="N68" s="91"/>
      <x:c r="O68" s="91"/>
      <x:c r="P68" s="89" t="str">
        <x:f>IF(COUNTA(B68)+COUNTA(E68:O68)+COUNTA(R68:S68)=0,"待反馈",IF(OR(COUNTIFS('运行记录'!$A$7:$A$150,B68)&lt;&gt;1,COUNTIFS($A$7:$A$150,A68)&lt;&gt;1),"ID无效或重复",IF(OR(D68="",E68="",F68=""),"待补齐场景",IF(AND(J68="未体验",K68="未体验"),"未体验",IF(OR(J68="未体验",K68="未体验"),"需核对未体验",IF(COUNTA(G68:M68)&lt;&gt;7,"待补齐关键内容","已反馈"))))))</x:f>
        <x:v>待反馈</x:v>
      </x:c>
      <x:c r="Q68" s="89" t="n">
        <x:f>IF(AND(P68="已反馈",O68&lt;&gt;""),1,0)</x:f>
        <x:v>0</x:v>
      </x:c>
      <x:c r="R68" s="91"/>
      <x:c r="S68" s="91"/>
      <x:c r="T68" s="89" t="n">
        <x:f>IF(AND(P68="已反馈",Q68=1,R68="已核对",S68&lt;&gt;""),1,0)</x:f>
        <x:v>0</x:v>
      </x:c>
    </x:row>
    <x:row r="69" ht="76" customHeight="1">
      <x:c r="A69" s="88" t="str">
        <x:v>FB063</x:v>
      </x:c>
      <x:c r="B69" s="86"/>
      <x:c r="C69" s="88" t="str">
        <x:f>IF(COUNTIFS('运行记录'!$A$7:$A$150,B69)=1,INDEX('运行记录'!$E$7:$E$150,MATCH(B69,'运行记录'!$A$7:$A$150,0)),"")</x:f>
      </x:c>
      <x:c r="D69" s="89" t="str">
        <x:f>IF(C69="","",IF(INDEX('特性清单'!$B$7:$B$18,MATCH(INDEX('运行记录'!$C$7:$C$150,MATCH(B69,'运行记录'!$A$7:$A$150,0)),'特性清单'!$A$7:$A$18,0))="","",INDEX('特性清单'!$B$7:$B$18,MATCH(INDEX('运行记录'!$C$7:$C$150,MATCH(B69,'运行记录'!$A$7:$A$150,0)),'特性清单'!$A$7:$A$18,0))))</x:f>
      </x:c>
      <x:c r="E69" s="91"/>
      <x:c r="F69" s="91"/>
      <x:c r="G69" s="91"/>
      <x:c r="H69" s="91"/>
      <x:c r="I69" s="91"/>
      <x:c r="J69" s="91"/>
      <x:c r="K69" s="91"/>
      <x:c r="L69" s="91"/>
      <x:c r="M69" s="91"/>
      <x:c r="N69" s="91"/>
      <x:c r="O69" s="91"/>
      <x:c r="P69" s="89" t="str">
        <x:f>IF(COUNTA(B69)+COUNTA(E69:O69)+COUNTA(R69:S69)=0,"待反馈",IF(OR(COUNTIFS('运行记录'!$A$7:$A$150,B69)&lt;&gt;1,COUNTIFS($A$7:$A$150,A69)&lt;&gt;1),"ID无效或重复",IF(OR(D69="",E69="",F69=""),"待补齐场景",IF(AND(J69="未体验",K69="未体验"),"未体验",IF(OR(J69="未体验",K69="未体验"),"需核对未体验",IF(COUNTA(G69:M69)&lt;&gt;7,"待补齐关键内容","已反馈"))))))</x:f>
        <x:v>待反馈</x:v>
      </x:c>
      <x:c r="Q69" s="89" t="n">
        <x:f>IF(AND(P69="已反馈",O69&lt;&gt;""),1,0)</x:f>
        <x:v>0</x:v>
      </x:c>
      <x:c r="R69" s="91"/>
      <x:c r="S69" s="91"/>
      <x:c r="T69" s="89" t="n">
        <x:f>IF(AND(P69="已反馈",Q69=1,R69="已核对",S69&lt;&gt;""),1,0)</x:f>
        <x:v>0</x:v>
      </x:c>
    </x:row>
    <x:row r="70" ht="76" customHeight="1">
      <x:c r="A70" s="88" t="str">
        <x:v>FB064</x:v>
      </x:c>
      <x:c r="B70" s="86"/>
      <x:c r="C70" s="88" t="str">
        <x:f>IF(COUNTIFS('运行记录'!$A$7:$A$150,B70)=1,INDEX('运行记录'!$E$7:$E$150,MATCH(B70,'运行记录'!$A$7:$A$150,0)),"")</x:f>
      </x:c>
      <x:c r="D70" s="89" t="str">
        <x:f>IF(C70="","",IF(INDEX('特性清单'!$B$7:$B$18,MATCH(INDEX('运行记录'!$C$7:$C$150,MATCH(B70,'运行记录'!$A$7:$A$150,0)),'特性清单'!$A$7:$A$18,0))="","",INDEX('特性清单'!$B$7:$B$18,MATCH(INDEX('运行记录'!$C$7:$C$150,MATCH(B70,'运行记录'!$A$7:$A$150,0)),'特性清单'!$A$7:$A$18,0))))</x:f>
      </x:c>
      <x:c r="E70" s="91"/>
      <x:c r="F70" s="91"/>
      <x:c r="G70" s="91"/>
      <x:c r="H70" s="91"/>
      <x:c r="I70" s="91"/>
      <x:c r="J70" s="91"/>
      <x:c r="K70" s="91"/>
      <x:c r="L70" s="91"/>
      <x:c r="M70" s="91"/>
      <x:c r="N70" s="91"/>
      <x:c r="O70" s="91"/>
      <x:c r="P70" s="89" t="str">
        <x:f>IF(COUNTA(B70)+COUNTA(E70:O70)+COUNTA(R70:S70)=0,"待反馈",IF(OR(COUNTIFS('运行记录'!$A$7:$A$150,B70)&lt;&gt;1,COUNTIFS($A$7:$A$150,A70)&lt;&gt;1),"ID无效或重复",IF(OR(D70="",E70="",F70=""),"待补齐场景",IF(AND(J70="未体验",K70="未体验"),"未体验",IF(OR(J70="未体验",K70="未体验"),"需核对未体验",IF(COUNTA(G70:M70)&lt;&gt;7,"待补齐关键内容","已反馈"))))))</x:f>
        <x:v>待反馈</x:v>
      </x:c>
      <x:c r="Q70" s="89" t="n">
        <x:f>IF(AND(P70="已反馈",O70&lt;&gt;""),1,0)</x:f>
        <x:v>0</x:v>
      </x:c>
      <x:c r="R70" s="91"/>
      <x:c r="S70" s="91"/>
      <x:c r="T70" s="89" t="n">
        <x:f>IF(AND(P70="已反馈",Q70=1,R70="已核对",S70&lt;&gt;""),1,0)</x:f>
        <x:v>0</x:v>
      </x:c>
    </x:row>
    <x:row r="71" ht="76" customHeight="1">
      <x:c r="A71" s="88" t="str">
        <x:v>FB065</x:v>
      </x:c>
      <x:c r="B71" s="86"/>
      <x:c r="C71" s="88" t="str">
        <x:f>IF(COUNTIFS('运行记录'!$A$7:$A$150,B71)=1,INDEX('运行记录'!$E$7:$E$150,MATCH(B71,'运行记录'!$A$7:$A$150,0)),"")</x:f>
      </x:c>
      <x:c r="D71" s="89" t="str">
        <x:f>IF(C71="","",IF(INDEX('特性清单'!$B$7:$B$18,MATCH(INDEX('运行记录'!$C$7:$C$150,MATCH(B71,'运行记录'!$A$7:$A$150,0)),'特性清单'!$A$7:$A$18,0))="","",INDEX('特性清单'!$B$7:$B$18,MATCH(INDEX('运行记录'!$C$7:$C$150,MATCH(B71,'运行记录'!$A$7:$A$150,0)),'特性清单'!$A$7:$A$18,0))))</x:f>
      </x:c>
      <x:c r="E71" s="91"/>
      <x:c r="F71" s="91"/>
      <x:c r="G71" s="91"/>
      <x:c r="H71" s="91"/>
      <x:c r="I71" s="91"/>
      <x:c r="J71" s="91"/>
      <x:c r="K71" s="91"/>
      <x:c r="L71" s="91"/>
      <x:c r="M71" s="91"/>
      <x:c r="N71" s="91"/>
      <x:c r="O71" s="91"/>
      <x:c r="P71" s="89" t="str">
        <x:f>IF(COUNTA(B71)+COUNTA(E71:O71)+COUNTA(R71:S71)=0,"待反馈",IF(OR(COUNTIFS('运行记录'!$A$7:$A$150,B71)&lt;&gt;1,COUNTIFS($A$7:$A$150,A71)&lt;&gt;1),"ID无效或重复",IF(OR(D71="",E71="",F71=""),"待补齐场景",IF(AND(J71="未体验",K71="未体验"),"未体验",IF(OR(J71="未体验",K71="未体验"),"需核对未体验",IF(COUNTA(G71:M71)&lt;&gt;7,"待补齐关键内容","已反馈"))))))</x:f>
        <x:v>待反馈</x:v>
      </x:c>
      <x:c r="Q71" s="89" t="n">
        <x:f>IF(AND(P71="已反馈",O71&lt;&gt;""),1,0)</x:f>
        <x:v>0</x:v>
      </x:c>
      <x:c r="R71" s="91"/>
      <x:c r="S71" s="91"/>
      <x:c r="T71" s="89" t="n">
        <x:f>IF(AND(P71="已反馈",Q71=1,R71="已核对",S71&lt;&gt;""),1,0)</x:f>
        <x:v>0</x:v>
      </x:c>
    </x:row>
    <x:row r="72" ht="76" customHeight="1">
      <x:c r="A72" s="88" t="str">
        <x:v>FB066</x:v>
      </x:c>
      <x:c r="B72" s="86"/>
      <x:c r="C72" s="88" t="str">
        <x:f>IF(COUNTIFS('运行记录'!$A$7:$A$150,B72)=1,INDEX('运行记录'!$E$7:$E$150,MATCH(B72,'运行记录'!$A$7:$A$150,0)),"")</x:f>
      </x:c>
      <x:c r="D72" s="89" t="str">
        <x:f>IF(C72="","",IF(INDEX('特性清单'!$B$7:$B$18,MATCH(INDEX('运行记录'!$C$7:$C$150,MATCH(B72,'运行记录'!$A$7:$A$150,0)),'特性清单'!$A$7:$A$18,0))="","",INDEX('特性清单'!$B$7:$B$18,MATCH(INDEX('运行记录'!$C$7:$C$150,MATCH(B72,'运行记录'!$A$7:$A$150,0)),'特性清单'!$A$7:$A$18,0))))</x:f>
      </x:c>
      <x:c r="E72" s="91"/>
      <x:c r="F72" s="91"/>
      <x:c r="G72" s="91"/>
      <x:c r="H72" s="91"/>
      <x:c r="I72" s="91"/>
      <x:c r="J72" s="91"/>
      <x:c r="K72" s="91"/>
      <x:c r="L72" s="91"/>
      <x:c r="M72" s="91"/>
      <x:c r="N72" s="91"/>
      <x:c r="O72" s="91"/>
      <x:c r="P72" s="89" t="str">
        <x:f>IF(COUNTA(B72)+COUNTA(E72:O72)+COUNTA(R72:S72)=0,"待反馈",IF(OR(COUNTIFS('运行记录'!$A$7:$A$150,B72)&lt;&gt;1,COUNTIFS($A$7:$A$150,A72)&lt;&gt;1),"ID无效或重复",IF(OR(D72="",E72="",F72=""),"待补齐场景",IF(AND(J72="未体验",K72="未体验"),"未体验",IF(OR(J72="未体验",K72="未体验"),"需核对未体验",IF(COUNTA(G72:M72)&lt;&gt;7,"待补齐关键内容","已反馈"))))))</x:f>
        <x:v>待反馈</x:v>
      </x:c>
      <x:c r="Q72" s="89" t="n">
        <x:f>IF(AND(P72="已反馈",O72&lt;&gt;""),1,0)</x:f>
        <x:v>0</x:v>
      </x:c>
      <x:c r="R72" s="91"/>
      <x:c r="S72" s="91"/>
      <x:c r="T72" s="89" t="n">
        <x:f>IF(AND(P72="已反馈",Q72=1,R72="已核对",S72&lt;&gt;""),1,0)</x:f>
        <x:v>0</x:v>
      </x:c>
    </x:row>
    <x:row r="73" ht="76" customHeight="1">
      <x:c r="A73" s="88" t="str">
        <x:v>FB067</x:v>
      </x:c>
      <x:c r="B73" s="86"/>
      <x:c r="C73" s="88" t="str">
        <x:f>IF(COUNTIFS('运行记录'!$A$7:$A$150,B73)=1,INDEX('运行记录'!$E$7:$E$150,MATCH(B73,'运行记录'!$A$7:$A$150,0)),"")</x:f>
      </x:c>
      <x:c r="D73" s="89" t="str">
        <x:f>IF(C73="","",IF(INDEX('特性清单'!$B$7:$B$18,MATCH(INDEX('运行记录'!$C$7:$C$150,MATCH(B73,'运行记录'!$A$7:$A$150,0)),'特性清单'!$A$7:$A$18,0))="","",INDEX('特性清单'!$B$7:$B$18,MATCH(INDEX('运行记录'!$C$7:$C$150,MATCH(B73,'运行记录'!$A$7:$A$150,0)),'特性清单'!$A$7:$A$18,0))))</x:f>
      </x:c>
      <x:c r="E73" s="91"/>
      <x:c r="F73" s="91"/>
      <x:c r="G73" s="91"/>
      <x:c r="H73" s="91"/>
      <x:c r="I73" s="91"/>
      <x:c r="J73" s="91"/>
      <x:c r="K73" s="91"/>
      <x:c r="L73" s="91"/>
      <x:c r="M73" s="91"/>
      <x:c r="N73" s="91"/>
      <x:c r="O73" s="91"/>
      <x:c r="P73" s="89" t="str">
        <x:f>IF(COUNTA(B73)+COUNTA(E73:O73)+COUNTA(R73:S73)=0,"待反馈",IF(OR(COUNTIFS('运行记录'!$A$7:$A$150,B73)&lt;&gt;1,COUNTIFS($A$7:$A$150,A73)&lt;&gt;1),"ID无效或重复",IF(OR(D73="",E73="",F73=""),"待补齐场景",IF(AND(J73="未体验",K73="未体验"),"未体验",IF(OR(J73="未体验",K73="未体验"),"需核对未体验",IF(COUNTA(G73:M73)&lt;&gt;7,"待补齐关键内容","已反馈"))))))</x:f>
        <x:v>待反馈</x:v>
      </x:c>
      <x:c r="Q73" s="89" t="n">
        <x:f>IF(AND(P73="已反馈",O73&lt;&gt;""),1,0)</x:f>
        <x:v>0</x:v>
      </x:c>
      <x:c r="R73" s="91"/>
      <x:c r="S73" s="91"/>
      <x:c r="T73" s="89" t="n">
        <x:f>IF(AND(P73="已反馈",Q73=1,R73="已核对",S73&lt;&gt;""),1,0)</x:f>
        <x:v>0</x:v>
      </x:c>
    </x:row>
    <x:row r="74" ht="76" customHeight="1">
      <x:c r="A74" s="88" t="str">
        <x:v>FB068</x:v>
      </x:c>
      <x:c r="B74" s="86"/>
      <x:c r="C74" s="88" t="str">
        <x:f>IF(COUNTIFS('运行记录'!$A$7:$A$150,B74)=1,INDEX('运行记录'!$E$7:$E$150,MATCH(B74,'运行记录'!$A$7:$A$150,0)),"")</x:f>
      </x:c>
      <x:c r="D74" s="89" t="str">
        <x:f>IF(C74="","",IF(INDEX('特性清单'!$B$7:$B$18,MATCH(INDEX('运行记录'!$C$7:$C$150,MATCH(B74,'运行记录'!$A$7:$A$150,0)),'特性清单'!$A$7:$A$18,0))="","",INDEX('特性清单'!$B$7:$B$18,MATCH(INDEX('运行记录'!$C$7:$C$150,MATCH(B74,'运行记录'!$A$7:$A$150,0)),'特性清单'!$A$7:$A$18,0))))</x:f>
      </x:c>
      <x:c r="E74" s="91"/>
      <x:c r="F74" s="91"/>
      <x:c r="G74" s="91"/>
      <x:c r="H74" s="91"/>
      <x:c r="I74" s="91"/>
      <x:c r="J74" s="91"/>
      <x:c r="K74" s="91"/>
      <x:c r="L74" s="91"/>
      <x:c r="M74" s="91"/>
      <x:c r="N74" s="91"/>
      <x:c r="O74" s="91"/>
      <x:c r="P74" s="89" t="str">
        <x:f>IF(COUNTA(B74)+COUNTA(E74:O74)+COUNTA(R74:S74)=0,"待反馈",IF(OR(COUNTIFS('运行记录'!$A$7:$A$150,B74)&lt;&gt;1,COUNTIFS($A$7:$A$150,A74)&lt;&gt;1),"ID无效或重复",IF(OR(D74="",E74="",F74=""),"待补齐场景",IF(AND(J74="未体验",K74="未体验"),"未体验",IF(OR(J74="未体验",K74="未体验"),"需核对未体验",IF(COUNTA(G74:M74)&lt;&gt;7,"待补齐关键内容","已反馈"))))))</x:f>
        <x:v>待反馈</x:v>
      </x:c>
      <x:c r="Q74" s="89" t="n">
        <x:f>IF(AND(P74="已反馈",O74&lt;&gt;""),1,0)</x:f>
        <x:v>0</x:v>
      </x:c>
      <x:c r="R74" s="91"/>
      <x:c r="S74" s="91"/>
      <x:c r="T74" s="89" t="n">
        <x:f>IF(AND(P74="已反馈",Q74=1,R74="已核对",S74&lt;&gt;""),1,0)</x:f>
        <x:v>0</x:v>
      </x:c>
    </x:row>
    <x:row r="75" ht="76" customHeight="1">
      <x:c r="A75" s="88" t="str">
        <x:v>FB069</x:v>
      </x:c>
      <x:c r="B75" s="86"/>
      <x:c r="C75" s="88" t="str">
        <x:f>IF(COUNTIFS('运行记录'!$A$7:$A$150,B75)=1,INDEX('运行记录'!$E$7:$E$150,MATCH(B75,'运行记录'!$A$7:$A$150,0)),"")</x:f>
      </x:c>
      <x:c r="D75" s="89" t="str">
        <x:f>IF(C75="","",IF(INDEX('特性清单'!$B$7:$B$18,MATCH(INDEX('运行记录'!$C$7:$C$150,MATCH(B75,'运行记录'!$A$7:$A$150,0)),'特性清单'!$A$7:$A$18,0))="","",INDEX('特性清单'!$B$7:$B$18,MATCH(INDEX('运行记录'!$C$7:$C$150,MATCH(B75,'运行记录'!$A$7:$A$150,0)),'特性清单'!$A$7:$A$18,0))))</x:f>
      </x:c>
      <x:c r="E75" s="91"/>
      <x:c r="F75" s="91"/>
      <x:c r="G75" s="91"/>
      <x:c r="H75" s="91"/>
      <x:c r="I75" s="91"/>
      <x:c r="J75" s="91"/>
      <x:c r="K75" s="91"/>
      <x:c r="L75" s="91"/>
      <x:c r="M75" s="91"/>
      <x:c r="N75" s="91"/>
      <x:c r="O75" s="91"/>
      <x:c r="P75" s="89" t="str">
        <x:f>IF(COUNTA(B75)+COUNTA(E75:O75)+COUNTA(R75:S75)=0,"待反馈",IF(OR(COUNTIFS('运行记录'!$A$7:$A$150,B75)&lt;&gt;1,COUNTIFS($A$7:$A$150,A75)&lt;&gt;1),"ID无效或重复",IF(OR(D75="",E75="",F75=""),"待补齐场景",IF(AND(J75="未体验",K75="未体验"),"未体验",IF(OR(J75="未体验",K75="未体验"),"需核对未体验",IF(COUNTA(G75:M75)&lt;&gt;7,"待补齐关键内容","已反馈"))))))</x:f>
        <x:v>待反馈</x:v>
      </x:c>
      <x:c r="Q75" s="89" t="n">
        <x:f>IF(AND(P75="已反馈",O75&lt;&gt;""),1,0)</x:f>
        <x:v>0</x:v>
      </x:c>
      <x:c r="R75" s="91"/>
      <x:c r="S75" s="91"/>
      <x:c r="T75" s="89" t="n">
        <x:f>IF(AND(P75="已反馈",Q75=1,R75="已核对",S75&lt;&gt;""),1,0)</x:f>
        <x:v>0</x:v>
      </x:c>
    </x:row>
    <x:row r="76" ht="76" customHeight="1">
      <x:c r="A76" s="88" t="str">
        <x:v>FB070</x:v>
      </x:c>
      <x:c r="B76" s="86"/>
      <x:c r="C76" s="88" t="str">
        <x:f>IF(COUNTIFS('运行记录'!$A$7:$A$150,B76)=1,INDEX('运行记录'!$E$7:$E$150,MATCH(B76,'运行记录'!$A$7:$A$150,0)),"")</x:f>
      </x:c>
      <x:c r="D76" s="89" t="str">
        <x:f>IF(C76="","",IF(INDEX('特性清单'!$B$7:$B$18,MATCH(INDEX('运行记录'!$C$7:$C$150,MATCH(B76,'运行记录'!$A$7:$A$150,0)),'特性清单'!$A$7:$A$18,0))="","",INDEX('特性清单'!$B$7:$B$18,MATCH(INDEX('运行记录'!$C$7:$C$150,MATCH(B76,'运行记录'!$A$7:$A$150,0)),'特性清单'!$A$7:$A$18,0))))</x:f>
      </x:c>
      <x:c r="E76" s="91"/>
      <x:c r="F76" s="91"/>
      <x:c r="G76" s="91"/>
      <x:c r="H76" s="91"/>
      <x:c r="I76" s="91"/>
      <x:c r="J76" s="91"/>
      <x:c r="K76" s="91"/>
      <x:c r="L76" s="91"/>
      <x:c r="M76" s="91"/>
      <x:c r="N76" s="91"/>
      <x:c r="O76" s="91"/>
      <x:c r="P76" s="89" t="str">
        <x:f>IF(COUNTA(B76)+COUNTA(E76:O76)+COUNTA(R76:S76)=0,"待反馈",IF(OR(COUNTIFS('运行记录'!$A$7:$A$150,B76)&lt;&gt;1,COUNTIFS($A$7:$A$150,A76)&lt;&gt;1),"ID无效或重复",IF(OR(D76="",E76="",F76=""),"待补齐场景",IF(AND(J76="未体验",K76="未体验"),"未体验",IF(OR(J76="未体验",K76="未体验"),"需核对未体验",IF(COUNTA(G76:M76)&lt;&gt;7,"待补齐关键内容","已反馈"))))))</x:f>
        <x:v>待反馈</x:v>
      </x:c>
      <x:c r="Q76" s="89" t="n">
        <x:f>IF(AND(P76="已反馈",O76&lt;&gt;""),1,0)</x:f>
        <x:v>0</x:v>
      </x:c>
      <x:c r="R76" s="91"/>
      <x:c r="S76" s="91"/>
      <x:c r="T76" s="89" t="n">
        <x:f>IF(AND(P76="已反馈",Q76=1,R76="已核对",S76&lt;&gt;""),1,0)</x:f>
        <x:v>0</x:v>
      </x:c>
    </x:row>
    <x:row r="77" ht="76" customHeight="1">
      <x:c r="A77" s="88" t="str">
        <x:v>FB071</x:v>
      </x:c>
      <x:c r="B77" s="86"/>
      <x:c r="C77" s="88" t="str">
        <x:f>IF(COUNTIFS('运行记录'!$A$7:$A$150,B77)=1,INDEX('运行记录'!$E$7:$E$150,MATCH(B77,'运行记录'!$A$7:$A$150,0)),"")</x:f>
      </x:c>
      <x:c r="D77" s="89" t="str">
        <x:f>IF(C77="","",IF(INDEX('特性清单'!$B$7:$B$18,MATCH(INDEX('运行记录'!$C$7:$C$150,MATCH(B77,'运行记录'!$A$7:$A$150,0)),'特性清单'!$A$7:$A$18,0))="","",INDEX('特性清单'!$B$7:$B$18,MATCH(INDEX('运行记录'!$C$7:$C$150,MATCH(B77,'运行记录'!$A$7:$A$150,0)),'特性清单'!$A$7:$A$18,0))))</x:f>
      </x:c>
      <x:c r="E77" s="91"/>
      <x:c r="F77" s="91"/>
      <x:c r="G77" s="91"/>
      <x:c r="H77" s="91"/>
      <x:c r="I77" s="91"/>
      <x:c r="J77" s="91"/>
      <x:c r="K77" s="91"/>
      <x:c r="L77" s="91"/>
      <x:c r="M77" s="91"/>
      <x:c r="N77" s="91"/>
      <x:c r="O77" s="91"/>
      <x:c r="P77" s="89" t="str">
        <x:f>IF(COUNTA(B77)+COUNTA(E77:O77)+COUNTA(R77:S77)=0,"待反馈",IF(OR(COUNTIFS('运行记录'!$A$7:$A$150,B77)&lt;&gt;1,COUNTIFS($A$7:$A$150,A77)&lt;&gt;1),"ID无效或重复",IF(OR(D77="",E77="",F77=""),"待补齐场景",IF(AND(J77="未体验",K77="未体验"),"未体验",IF(OR(J77="未体验",K77="未体验"),"需核对未体验",IF(COUNTA(G77:M77)&lt;&gt;7,"待补齐关键内容","已反馈"))))))</x:f>
        <x:v>待反馈</x:v>
      </x:c>
      <x:c r="Q77" s="89" t="n">
        <x:f>IF(AND(P77="已反馈",O77&lt;&gt;""),1,0)</x:f>
        <x:v>0</x:v>
      </x:c>
      <x:c r="R77" s="91"/>
      <x:c r="S77" s="91"/>
      <x:c r="T77" s="89" t="n">
        <x:f>IF(AND(P77="已反馈",Q77=1,R77="已核对",S77&lt;&gt;""),1,0)</x:f>
        <x:v>0</x:v>
      </x:c>
    </x:row>
    <x:row r="78" ht="76" customHeight="1">
      <x:c r="A78" s="88" t="str">
        <x:v>FB072</x:v>
      </x:c>
      <x:c r="B78" s="86"/>
      <x:c r="C78" s="88" t="str">
        <x:f>IF(COUNTIFS('运行记录'!$A$7:$A$150,B78)=1,INDEX('运行记录'!$E$7:$E$150,MATCH(B78,'运行记录'!$A$7:$A$150,0)),"")</x:f>
      </x:c>
      <x:c r="D78" s="89" t="str">
        <x:f>IF(C78="","",IF(INDEX('特性清单'!$B$7:$B$18,MATCH(INDEX('运行记录'!$C$7:$C$150,MATCH(B78,'运行记录'!$A$7:$A$150,0)),'特性清单'!$A$7:$A$18,0))="","",INDEX('特性清单'!$B$7:$B$18,MATCH(INDEX('运行记录'!$C$7:$C$150,MATCH(B78,'运行记录'!$A$7:$A$150,0)),'特性清单'!$A$7:$A$18,0))))</x:f>
      </x:c>
      <x:c r="E78" s="91"/>
      <x:c r="F78" s="91"/>
      <x:c r="G78" s="91"/>
      <x:c r="H78" s="91"/>
      <x:c r="I78" s="91"/>
      <x:c r="J78" s="91"/>
      <x:c r="K78" s="91"/>
      <x:c r="L78" s="91"/>
      <x:c r="M78" s="91"/>
      <x:c r="N78" s="91"/>
      <x:c r="O78" s="91"/>
      <x:c r="P78" s="89" t="str">
        <x:f>IF(COUNTA(B78)+COUNTA(E78:O78)+COUNTA(R78:S78)=0,"待反馈",IF(OR(COUNTIFS('运行记录'!$A$7:$A$150,B78)&lt;&gt;1,COUNTIFS($A$7:$A$150,A78)&lt;&gt;1),"ID无效或重复",IF(OR(D78="",E78="",F78=""),"待补齐场景",IF(AND(J78="未体验",K78="未体验"),"未体验",IF(OR(J78="未体验",K78="未体验"),"需核对未体验",IF(COUNTA(G78:M78)&lt;&gt;7,"待补齐关键内容","已反馈"))))))</x:f>
        <x:v>待反馈</x:v>
      </x:c>
      <x:c r="Q78" s="89" t="n">
        <x:f>IF(AND(P78="已反馈",O78&lt;&gt;""),1,0)</x:f>
        <x:v>0</x:v>
      </x:c>
      <x:c r="R78" s="91"/>
      <x:c r="S78" s="91"/>
      <x:c r="T78" s="89" t="n">
        <x:f>IF(AND(P78="已反馈",Q78=1,R78="已核对",S78&lt;&gt;""),1,0)</x:f>
        <x:v>0</x:v>
      </x:c>
    </x:row>
    <x:row r="79" ht="76" customHeight="1">
      <x:c r="A79" s="88" t="str">
        <x:v>FB073</x:v>
      </x:c>
      <x:c r="B79" s="86"/>
      <x:c r="C79" s="88" t="str">
        <x:f>IF(COUNTIFS('运行记录'!$A$7:$A$150,B79)=1,INDEX('运行记录'!$E$7:$E$150,MATCH(B79,'运行记录'!$A$7:$A$150,0)),"")</x:f>
      </x:c>
      <x:c r="D79" s="89" t="str">
        <x:f>IF(C79="","",IF(INDEX('特性清单'!$B$7:$B$18,MATCH(INDEX('运行记录'!$C$7:$C$150,MATCH(B79,'运行记录'!$A$7:$A$150,0)),'特性清单'!$A$7:$A$18,0))="","",INDEX('特性清单'!$B$7:$B$18,MATCH(INDEX('运行记录'!$C$7:$C$150,MATCH(B79,'运行记录'!$A$7:$A$150,0)),'特性清单'!$A$7:$A$18,0))))</x:f>
      </x:c>
      <x:c r="E79" s="91"/>
      <x:c r="F79" s="91"/>
      <x:c r="G79" s="91"/>
      <x:c r="H79" s="91"/>
      <x:c r="I79" s="91"/>
      <x:c r="J79" s="91"/>
      <x:c r="K79" s="91"/>
      <x:c r="L79" s="91"/>
      <x:c r="M79" s="91"/>
      <x:c r="N79" s="91"/>
      <x:c r="O79" s="91"/>
      <x:c r="P79" s="89" t="str">
        <x:f>IF(COUNTA(B79)+COUNTA(E79:O79)+COUNTA(R79:S79)=0,"待反馈",IF(OR(COUNTIFS('运行记录'!$A$7:$A$150,B79)&lt;&gt;1,COUNTIFS($A$7:$A$150,A79)&lt;&gt;1),"ID无效或重复",IF(OR(D79="",E79="",F79=""),"待补齐场景",IF(AND(J79="未体验",K79="未体验"),"未体验",IF(OR(J79="未体验",K79="未体验"),"需核对未体验",IF(COUNTA(G79:M79)&lt;&gt;7,"待补齐关键内容","已反馈"))))))</x:f>
        <x:v>待反馈</x:v>
      </x:c>
      <x:c r="Q79" s="89" t="n">
        <x:f>IF(AND(P79="已反馈",O79&lt;&gt;""),1,0)</x:f>
        <x:v>0</x:v>
      </x:c>
      <x:c r="R79" s="91"/>
      <x:c r="S79" s="91"/>
      <x:c r="T79" s="89" t="n">
        <x:f>IF(AND(P79="已反馈",Q79=1,R79="已核对",S79&lt;&gt;""),1,0)</x:f>
        <x:v>0</x:v>
      </x:c>
    </x:row>
    <x:row r="80" ht="76" customHeight="1">
      <x:c r="A80" s="88" t="str">
        <x:v>FB074</x:v>
      </x:c>
      <x:c r="B80" s="86"/>
      <x:c r="C80" s="88" t="str">
        <x:f>IF(COUNTIFS('运行记录'!$A$7:$A$150,B80)=1,INDEX('运行记录'!$E$7:$E$150,MATCH(B80,'运行记录'!$A$7:$A$150,0)),"")</x:f>
      </x:c>
      <x:c r="D80" s="89" t="str">
        <x:f>IF(C80="","",IF(INDEX('特性清单'!$B$7:$B$18,MATCH(INDEX('运行记录'!$C$7:$C$150,MATCH(B80,'运行记录'!$A$7:$A$150,0)),'特性清单'!$A$7:$A$18,0))="","",INDEX('特性清单'!$B$7:$B$18,MATCH(INDEX('运行记录'!$C$7:$C$150,MATCH(B80,'运行记录'!$A$7:$A$150,0)),'特性清单'!$A$7:$A$18,0))))</x:f>
      </x:c>
      <x:c r="E80" s="91"/>
      <x:c r="F80" s="91"/>
      <x:c r="G80" s="91"/>
      <x:c r="H80" s="91"/>
      <x:c r="I80" s="91"/>
      <x:c r="J80" s="91"/>
      <x:c r="K80" s="91"/>
      <x:c r="L80" s="91"/>
      <x:c r="M80" s="91"/>
      <x:c r="N80" s="91"/>
      <x:c r="O80" s="91"/>
      <x:c r="P80" s="89" t="str">
        <x:f>IF(COUNTA(B80)+COUNTA(E80:O80)+COUNTA(R80:S80)=0,"待反馈",IF(OR(COUNTIFS('运行记录'!$A$7:$A$150,B80)&lt;&gt;1,COUNTIFS($A$7:$A$150,A80)&lt;&gt;1),"ID无效或重复",IF(OR(D80="",E80="",F80=""),"待补齐场景",IF(AND(J80="未体验",K80="未体验"),"未体验",IF(OR(J80="未体验",K80="未体验"),"需核对未体验",IF(COUNTA(G80:M80)&lt;&gt;7,"待补齐关键内容","已反馈"))))))</x:f>
        <x:v>待反馈</x:v>
      </x:c>
      <x:c r="Q80" s="89" t="n">
        <x:f>IF(AND(P80="已反馈",O80&lt;&gt;""),1,0)</x:f>
        <x:v>0</x:v>
      </x:c>
      <x:c r="R80" s="91"/>
      <x:c r="S80" s="91"/>
      <x:c r="T80" s="89" t="n">
        <x:f>IF(AND(P80="已反馈",Q80=1,R80="已核对",S80&lt;&gt;""),1,0)</x:f>
        <x:v>0</x:v>
      </x:c>
    </x:row>
    <x:row r="81" ht="76" customHeight="1">
      <x:c r="A81" s="88" t="str">
        <x:v>FB075</x:v>
      </x:c>
      <x:c r="B81" s="86"/>
      <x:c r="C81" s="88" t="str">
        <x:f>IF(COUNTIFS('运行记录'!$A$7:$A$150,B81)=1,INDEX('运行记录'!$E$7:$E$150,MATCH(B81,'运行记录'!$A$7:$A$150,0)),"")</x:f>
      </x:c>
      <x:c r="D81" s="89" t="str">
        <x:f>IF(C81="","",IF(INDEX('特性清单'!$B$7:$B$18,MATCH(INDEX('运行记录'!$C$7:$C$150,MATCH(B81,'运行记录'!$A$7:$A$150,0)),'特性清单'!$A$7:$A$18,0))="","",INDEX('特性清单'!$B$7:$B$18,MATCH(INDEX('运行记录'!$C$7:$C$150,MATCH(B81,'运行记录'!$A$7:$A$150,0)),'特性清单'!$A$7:$A$18,0))))</x:f>
      </x:c>
      <x:c r="E81" s="91"/>
      <x:c r="F81" s="91"/>
      <x:c r="G81" s="91"/>
      <x:c r="H81" s="91"/>
      <x:c r="I81" s="91"/>
      <x:c r="J81" s="91"/>
      <x:c r="K81" s="91"/>
      <x:c r="L81" s="91"/>
      <x:c r="M81" s="91"/>
      <x:c r="N81" s="91"/>
      <x:c r="O81" s="91"/>
      <x:c r="P81" s="89" t="str">
        <x:f>IF(COUNTA(B81)+COUNTA(E81:O81)+COUNTA(R81:S81)=0,"待反馈",IF(OR(COUNTIFS('运行记录'!$A$7:$A$150,B81)&lt;&gt;1,COUNTIFS($A$7:$A$150,A81)&lt;&gt;1),"ID无效或重复",IF(OR(D81="",E81="",F81=""),"待补齐场景",IF(AND(J81="未体验",K81="未体验"),"未体验",IF(OR(J81="未体验",K81="未体验"),"需核对未体验",IF(COUNTA(G81:M81)&lt;&gt;7,"待补齐关键内容","已反馈"))))))</x:f>
        <x:v>待反馈</x:v>
      </x:c>
      <x:c r="Q81" s="89" t="n">
        <x:f>IF(AND(P81="已反馈",O81&lt;&gt;""),1,0)</x:f>
        <x:v>0</x:v>
      </x:c>
      <x:c r="R81" s="91"/>
      <x:c r="S81" s="91"/>
      <x:c r="T81" s="89" t="n">
        <x:f>IF(AND(P81="已反馈",Q81=1,R81="已核对",S81&lt;&gt;""),1,0)</x:f>
        <x:v>0</x:v>
      </x:c>
    </x:row>
    <x:row r="82" ht="76" customHeight="1">
      <x:c r="A82" s="88" t="str">
        <x:v>FB076</x:v>
      </x:c>
      <x:c r="B82" s="86"/>
      <x:c r="C82" s="88" t="str">
        <x:f>IF(COUNTIFS('运行记录'!$A$7:$A$150,B82)=1,INDEX('运行记录'!$E$7:$E$150,MATCH(B82,'运行记录'!$A$7:$A$150,0)),"")</x:f>
      </x:c>
      <x:c r="D82" s="89" t="str">
        <x:f>IF(C82="","",IF(INDEX('特性清单'!$B$7:$B$18,MATCH(INDEX('运行记录'!$C$7:$C$150,MATCH(B82,'运行记录'!$A$7:$A$150,0)),'特性清单'!$A$7:$A$18,0))="","",INDEX('特性清单'!$B$7:$B$18,MATCH(INDEX('运行记录'!$C$7:$C$150,MATCH(B82,'运行记录'!$A$7:$A$150,0)),'特性清单'!$A$7:$A$18,0))))</x:f>
      </x:c>
      <x:c r="E82" s="91"/>
      <x:c r="F82" s="91"/>
      <x:c r="G82" s="91"/>
      <x:c r="H82" s="91"/>
      <x:c r="I82" s="91"/>
      <x:c r="J82" s="91"/>
      <x:c r="K82" s="91"/>
      <x:c r="L82" s="91"/>
      <x:c r="M82" s="91"/>
      <x:c r="N82" s="91"/>
      <x:c r="O82" s="91"/>
      <x:c r="P82" s="89" t="str">
        <x:f>IF(COUNTA(B82)+COUNTA(E82:O82)+COUNTA(R82:S82)=0,"待反馈",IF(OR(COUNTIFS('运行记录'!$A$7:$A$150,B82)&lt;&gt;1,COUNTIFS($A$7:$A$150,A82)&lt;&gt;1),"ID无效或重复",IF(OR(D82="",E82="",F82=""),"待补齐场景",IF(AND(J82="未体验",K82="未体验"),"未体验",IF(OR(J82="未体验",K82="未体验"),"需核对未体验",IF(COUNTA(G82:M82)&lt;&gt;7,"待补齐关键内容","已反馈"))))))</x:f>
        <x:v>待反馈</x:v>
      </x:c>
      <x:c r="Q82" s="89" t="n">
        <x:f>IF(AND(P82="已反馈",O82&lt;&gt;""),1,0)</x:f>
        <x:v>0</x:v>
      </x:c>
      <x:c r="R82" s="91"/>
      <x:c r="S82" s="91"/>
      <x:c r="T82" s="89" t="n">
        <x:f>IF(AND(P82="已反馈",Q82=1,R82="已核对",S82&lt;&gt;""),1,0)</x:f>
        <x:v>0</x:v>
      </x:c>
    </x:row>
    <x:row r="83" ht="76" customHeight="1">
      <x:c r="A83" s="88" t="str">
        <x:v>FB077</x:v>
      </x:c>
      <x:c r="B83" s="86"/>
      <x:c r="C83" s="88" t="str">
        <x:f>IF(COUNTIFS('运行记录'!$A$7:$A$150,B83)=1,INDEX('运行记录'!$E$7:$E$150,MATCH(B83,'运行记录'!$A$7:$A$150,0)),"")</x:f>
      </x:c>
      <x:c r="D83" s="89" t="str">
        <x:f>IF(C83="","",IF(INDEX('特性清单'!$B$7:$B$18,MATCH(INDEX('运行记录'!$C$7:$C$150,MATCH(B83,'运行记录'!$A$7:$A$150,0)),'特性清单'!$A$7:$A$18,0))="","",INDEX('特性清单'!$B$7:$B$18,MATCH(INDEX('运行记录'!$C$7:$C$150,MATCH(B83,'运行记录'!$A$7:$A$150,0)),'特性清单'!$A$7:$A$18,0))))</x:f>
      </x:c>
      <x:c r="E83" s="91"/>
      <x:c r="F83" s="91"/>
      <x:c r="G83" s="91"/>
      <x:c r="H83" s="91"/>
      <x:c r="I83" s="91"/>
      <x:c r="J83" s="91"/>
      <x:c r="K83" s="91"/>
      <x:c r="L83" s="91"/>
      <x:c r="M83" s="91"/>
      <x:c r="N83" s="91"/>
      <x:c r="O83" s="91"/>
      <x:c r="P83" s="89" t="str">
        <x:f>IF(COUNTA(B83)+COUNTA(E83:O83)+COUNTA(R83:S83)=0,"待反馈",IF(OR(COUNTIFS('运行记录'!$A$7:$A$150,B83)&lt;&gt;1,COUNTIFS($A$7:$A$150,A83)&lt;&gt;1),"ID无效或重复",IF(OR(D83="",E83="",F83=""),"待补齐场景",IF(AND(J83="未体验",K83="未体验"),"未体验",IF(OR(J83="未体验",K83="未体验"),"需核对未体验",IF(COUNTA(G83:M83)&lt;&gt;7,"待补齐关键内容","已反馈"))))))</x:f>
        <x:v>待反馈</x:v>
      </x:c>
      <x:c r="Q83" s="89" t="n">
        <x:f>IF(AND(P83="已反馈",O83&lt;&gt;""),1,0)</x:f>
        <x:v>0</x:v>
      </x:c>
      <x:c r="R83" s="91"/>
      <x:c r="S83" s="91"/>
      <x:c r="T83" s="89" t="n">
        <x:f>IF(AND(P83="已反馈",Q83=1,R83="已核对",S83&lt;&gt;""),1,0)</x:f>
        <x:v>0</x:v>
      </x:c>
    </x:row>
    <x:row r="84" ht="76" customHeight="1">
      <x:c r="A84" s="88" t="str">
        <x:v>FB078</x:v>
      </x:c>
      <x:c r="B84" s="86"/>
      <x:c r="C84" s="88" t="str">
        <x:f>IF(COUNTIFS('运行记录'!$A$7:$A$150,B84)=1,INDEX('运行记录'!$E$7:$E$150,MATCH(B84,'运行记录'!$A$7:$A$150,0)),"")</x:f>
      </x:c>
      <x:c r="D84" s="89" t="str">
        <x:f>IF(C84="","",IF(INDEX('特性清单'!$B$7:$B$18,MATCH(INDEX('运行记录'!$C$7:$C$150,MATCH(B84,'运行记录'!$A$7:$A$150,0)),'特性清单'!$A$7:$A$18,0))="","",INDEX('特性清单'!$B$7:$B$18,MATCH(INDEX('运行记录'!$C$7:$C$150,MATCH(B84,'运行记录'!$A$7:$A$150,0)),'特性清单'!$A$7:$A$18,0))))</x:f>
      </x:c>
      <x:c r="E84" s="91"/>
      <x:c r="F84" s="91"/>
      <x:c r="G84" s="91"/>
      <x:c r="H84" s="91"/>
      <x:c r="I84" s="91"/>
      <x:c r="J84" s="91"/>
      <x:c r="K84" s="91"/>
      <x:c r="L84" s="91"/>
      <x:c r="M84" s="91"/>
      <x:c r="N84" s="91"/>
      <x:c r="O84" s="91"/>
      <x:c r="P84" s="89" t="str">
        <x:f>IF(COUNTA(B84)+COUNTA(E84:O84)+COUNTA(R84:S84)=0,"待反馈",IF(OR(COUNTIFS('运行记录'!$A$7:$A$150,B84)&lt;&gt;1,COUNTIFS($A$7:$A$150,A84)&lt;&gt;1),"ID无效或重复",IF(OR(D84="",E84="",F84=""),"待补齐场景",IF(AND(J84="未体验",K84="未体验"),"未体验",IF(OR(J84="未体验",K84="未体验"),"需核对未体验",IF(COUNTA(G84:M84)&lt;&gt;7,"待补齐关键内容","已反馈"))))))</x:f>
        <x:v>待反馈</x:v>
      </x:c>
      <x:c r="Q84" s="89" t="n">
        <x:f>IF(AND(P84="已反馈",O84&lt;&gt;""),1,0)</x:f>
        <x:v>0</x:v>
      </x:c>
      <x:c r="R84" s="91"/>
      <x:c r="S84" s="91"/>
      <x:c r="T84" s="89" t="n">
        <x:f>IF(AND(P84="已反馈",Q84=1,R84="已核对",S84&lt;&gt;""),1,0)</x:f>
        <x:v>0</x:v>
      </x:c>
    </x:row>
    <x:row r="85" ht="76" customHeight="1">
      <x:c r="A85" s="88" t="str">
        <x:v>FB079</x:v>
      </x:c>
      <x:c r="B85" s="86"/>
      <x:c r="C85" s="88" t="str">
        <x:f>IF(COUNTIFS('运行记录'!$A$7:$A$150,B85)=1,INDEX('运行记录'!$E$7:$E$150,MATCH(B85,'运行记录'!$A$7:$A$150,0)),"")</x:f>
      </x:c>
      <x:c r="D85" s="89" t="str">
        <x:f>IF(C85="","",IF(INDEX('特性清单'!$B$7:$B$18,MATCH(INDEX('运行记录'!$C$7:$C$150,MATCH(B85,'运行记录'!$A$7:$A$150,0)),'特性清单'!$A$7:$A$18,0))="","",INDEX('特性清单'!$B$7:$B$18,MATCH(INDEX('运行记录'!$C$7:$C$150,MATCH(B85,'运行记录'!$A$7:$A$150,0)),'特性清单'!$A$7:$A$18,0))))</x:f>
      </x:c>
      <x:c r="E85" s="91"/>
      <x:c r="F85" s="91"/>
      <x:c r="G85" s="91"/>
      <x:c r="H85" s="91"/>
      <x:c r="I85" s="91"/>
      <x:c r="J85" s="91"/>
      <x:c r="K85" s="91"/>
      <x:c r="L85" s="91"/>
      <x:c r="M85" s="91"/>
      <x:c r="N85" s="91"/>
      <x:c r="O85" s="91"/>
      <x:c r="P85" s="89" t="str">
        <x:f>IF(COUNTA(B85)+COUNTA(E85:O85)+COUNTA(R85:S85)=0,"待反馈",IF(OR(COUNTIFS('运行记录'!$A$7:$A$150,B85)&lt;&gt;1,COUNTIFS($A$7:$A$150,A85)&lt;&gt;1),"ID无效或重复",IF(OR(D85="",E85="",F85=""),"待补齐场景",IF(AND(J85="未体验",K85="未体验"),"未体验",IF(OR(J85="未体验",K85="未体验"),"需核对未体验",IF(COUNTA(G85:M85)&lt;&gt;7,"待补齐关键内容","已反馈"))))))</x:f>
        <x:v>待反馈</x:v>
      </x:c>
      <x:c r="Q85" s="89" t="n">
        <x:f>IF(AND(P85="已反馈",O85&lt;&gt;""),1,0)</x:f>
        <x:v>0</x:v>
      </x:c>
      <x:c r="R85" s="91"/>
      <x:c r="S85" s="91"/>
      <x:c r="T85" s="89" t="n">
        <x:f>IF(AND(P85="已反馈",Q85=1,R85="已核对",S85&lt;&gt;""),1,0)</x:f>
        <x:v>0</x:v>
      </x:c>
    </x:row>
    <x:row r="86" ht="76" customHeight="1">
      <x:c r="A86" s="88" t="str">
        <x:v>FB080</x:v>
      </x:c>
      <x:c r="B86" s="86"/>
      <x:c r="C86" s="88" t="str">
        <x:f>IF(COUNTIFS('运行记录'!$A$7:$A$150,B86)=1,INDEX('运行记录'!$E$7:$E$150,MATCH(B86,'运行记录'!$A$7:$A$150,0)),"")</x:f>
      </x:c>
      <x:c r="D86" s="89" t="str">
        <x:f>IF(C86="","",IF(INDEX('特性清单'!$B$7:$B$18,MATCH(INDEX('运行记录'!$C$7:$C$150,MATCH(B86,'运行记录'!$A$7:$A$150,0)),'特性清单'!$A$7:$A$18,0))="","",INDEX('特性清单'!$B$7:$B$18,MATCH(INDEX('运行记录'!$C$7:$C$150,MATCH(B86,'运行记录'!$A$7:$A$150,0)),'特性清单'!$A$7:$A$18,0))))</x:f>
      </x:c>
      <x:c r="E86" s="91"/>
      <x:c r="F86" s="91"/>
      <x:c r="G86" s="91"/>
      <x:c r="H86" s="91"/>
      <x:c r="I86" s="91"/>
      <x:c r="J86" s="91"/>
      <x:c r="K86" s="91"/>
      <x:c r="L86" s="91"/>
      <x:c r="M86" s="91"/>
      <x:c r="N86" s="91"/>
      <x:c r="O86" s="91"/>
      <x:c r="P86" s="89" t="str">
        <x:f>IF(COUNTA(B86)+COUNTA(E86:O86)+COUNTA(R86:S86)=0,"待反馈",IF(OR(COUNTIFS('运行记录'!$A$7:$A$150,B86)&lt;&gt;1,COUNTIFS($A$7:$A$150,A86)&lt;&gt;1),"ID无效或重复",IF(OR(D86="",E86="",F86=""),"待补齐场景",IF(AND(J86="未体验",K86="未体验"),"未体验",IF(OR(J86="未体验",K86="未体验"),"需核对未体验",IF(COUNTA(G86:M86)&lt;&gt;7,"待补齐关键内容","已反馈"))))))</x:f>
        <x:v>待反馈</x:v>
      </x:c>
      <x:c r="Q86" s="89" t="n">
        <x:f>IF(AND(P86="已反馈",O86&lt;&gt;""),1,0)</x:f>
        <x:v>0</x:v>
      </x:c>
      <x:c r="R86" s="91"/>
      <x:c r="S86" s="91"/>
      <x:c r="T86" s="89" t="n">
        <x:f>IF(AND(P86="已反馈",Q86=1,R86="已核对",S86&lt;&gt;""),1,0)</x:f>
        <x:v>0</x:v>
      </x:c>
    </x:row>
    <x:row r="87" ht="76" customHeight="1">
      <x:c r="A87" s="88" t="str">
        <x:v>FB081</x:v>
      </x:c>
      <x:c r="B87" s="86"/>
      <x:c r="C87" s="88" t="str">
        <x:f>IF(COUNTIFS('运行记录'!$A$7:$A$150,B87)=1,INDEX('运行记录'!$E$7:$E$150,MATCH(B87,'运行记录'!$A$7:$A$150,0)),"")</x:f>
      </x:c>
      <x:c r="D87" s="89" t="str">
        <x:f>IF(C87="","",IF(INDEX('特性清单'!$B$7:$B$18,MATCH(INDEX('运行记录'!$C$7:$C$150,MATCH(B87,'运行记录'!$A$7:$A$150,0)),'特性清单'!$A$7:$A$18,0))="","",INDEX('特性清单'!$B$7:$B$18,MATCH(INDEX('运行记录'!$C$7:$C$150,MATCH(B87,'运行记录'!$A$7:$A$150,0)),'特性清单'!$A$7:$A$18,0))))</x:f>
      </x:c>
      <x:c r="E87" s="91"/>
      <x:c r="F87" s="91"/>
      <x:c r="G87" s="91"/>
      <x:c r="H87" s="91"/>
      <x:c r="I87" s="91"/>
      <x:c r="J87" s="91"/>
      <x:c r="K87" s="91"/>
      <x:c r="L87" s="91"/>
      <x:c r="M87" s="91"/>
      <x:c r="N87" s="91"/>
      <x:c r="O87" s="91"/>
      <x:c r="P87" s="89" t="str">
        <x:f>IF(COUNTA(B87)+COUNTA(E87:O87)+COUNTA(R87:S87)=0,"待反馈",IF(OR(COUNTIFS('运行记录'!$A$7:$A$150,B87)&lt;&gt;1,COUNTIFS($A$7:$A$150,A87)&lt;&gt;1),"ID无效或重复",IF(OR(D87="",E87="",F87=""),"待补齐场景",IF(AND(J87="未体验",K87="未体验"),"未体验",IF(OR(J87="未体验",K87="未体验"),"需核对未体验",IF(COUNTA(G87:M87)&lt;&gt;7,"待补齐关键内容","已反馈"))))))</x:f>
        <x:v>待反馈</x:v>
      </x:c>
      <x:c r="Q87" s="89" t="n">
        <x:f>IF(AND(P87="已反馈",O87&lt;&gt;""),1,0)</x:f>
        <x:v>0</x:v>
      </x:c>
      <x:c r="R87" s="91"/>
      <x:c r="S87" s="91"/>
      <x:c r="T87" s="89" t="n">
        <x:f>IF(AND(P87="已反馈",Q87=1,R87="已核对",S87&lt;&gt;""),1,0)</x:f>
        <x:v>0</x:v>
      </x:c>
    </x:row>
    <x:row r="88" ht="76" customHeight="1">
      <x:c r="A88" s="88" t="str">
        <x:v>FB082</x:v>
      </x:c>
      <x:c r="B88" s="86"/>
      <x:c r="C88" s="88" t="str">
        <x:f>IF(COUNTIFS('运行记录'!$A$7:$A$150,B88)=1,INDEX('运行记录'!$E$7:$E$150,MATCH(B88,'运行记录'!$A$7:$A$150,0)),"")</x:f>
      </x:c>
      <x:c r="D88" s="89" t="str">
        <x:f>IF(C88="","",IF(INDEX('特性清单'!$B$7:$B$18,MATCH(INDEX('运行记录'!$C$7:$C$150,MATCH(B88,'运行记录'!$A$7:$A$150,0)),'特性清单'!$A$7:$A$18,0))="","",INDEX('特性清单'!$B$7:$B$18,MATCH(INDEX('运行记录'!$C$7:$C$150,MATCH(B88,'运行记录'!$A$7:$A$150,0)),'特性清单'!$A$7:$A$18,0))))</x:f>
      </x:c>
      <x:c r="E88" s="91"/>
      <x:c r="F88" s="91"/>
      <x:c r="G88" s="91"/>
      <x:c r="H88" s="91"/>
      <x:c r="I88" s="91"/>
      <x:c r="J88" s="91"/>
      <x:c r="K88" s="91"/>
      <x:c r="L88" s="91"/>
      <x:c r="M88" s="91"/>
      <x:c r="N88" s="91"/>
      <x:c r="O88" s="91"/>
      <x:c r="P88" s="89" t="str">
        <x:f>IF(COUNTA(B88)+COUNTA(E88:O88)+COUNTA(R88:S88)=0,"待反馈",IF(OR(COUNTIFS('运行记录'!$A$7:$A$150,B88)&lt;&gt;1,COUNTIFS($A$7:$A$150,A88)&lt;&gt;1),"ID无效或重复",IF(OR(D88="",E88="",F88=""),"待补齐场景",IF(AND(J88="未体验",K88="未体验"),"未体验",IF(OR(J88="未体验",K88="未体验"),"需核对未体验",IF(COUNTA(G88:M88)&lt;&gt;7,"待补齐关键内容","已反馈"))))))</x:f>
        <x:v>待反馈</x:v>
      </x:c>
      <x:c r="Q88" s="89" t="n">
        <x:f>IF(AND(P88="已反馈",O88&lt;&gt;""),1,0)</x:f>
        <x:v>0</x:v>
      </x:c>
      <x:c r="R88" s="91"/>
      <x:c r="S88" s="91"/>
      <x:c r="T88" s="89" t="n">
        <x:f>IF(AND(P88="已反馈",Q88=1,R88="已核对",S88&lt;&gt;""),1,0)</x:f>
        <x:v>0</x:v>
      </x:c>
    </x:row>
    <x:row r="89" ht="76" customHeight="1">
      <x:c r="A89" s="88" t="str">
        <x:v>FB083</x:v>
      </x:c>
      <x:c r="B89" s="86"/>
      <x:c r="C89" s="88" t="str">
        <x:f>IF(COUNTIFS('运行记录'!$A$7:$A$150,B89)=1,INDEX('运行记录'!$E$7:$E$150,MATCH(B89,'运行记录'!$A$7:$A$150,0)),"")</x:f>
      </x:c>
      <x:c r="D89" s="89" t="str">
        <x:f>IF(C89="","",IF(INDEX('特性清单'!$B$7:$B$18,MATCH(INDEX('运行记录'!$C$7:$C$150,MATCH(B89,'运行记录'!$A$7:$A$150,0)),'特性清单'!$A$7:$A$18,0))="","",INDEX('特性清单'!$B$7:$B$18,MATCH(INDEX('运行记录'!$C$7:$C$150,MATCH(B89,'运行记录'!$A$7:$A$150,0)),'特性清单'!$A$7:$A$18,0))))</x:f>
      </x:c>
      <x:c r="E89" s="91"/>
      <x:c r="F89" s="91"/>
      <x:c r="G89" s="91"/>
      <x:c r="H89" s="91"/>
      <x:c r="I89" s="91"/>
      <x:c r="J89" s="91"/>
      <x:c r="K89" s="91"/>
      <x:c r="L89" s="91"/>
      <x:c r="M89" s="91"/>
      <x:c r="N89" s="91"/>
      <x:c r="O89" s="91"/>
      <x:c r="P89" s="89" t="str">
        <x:f>IF(COUNTA(B89)+COUNTA(E89:O89)+COUNTA(R89:S89)=0,"待反馈",IF(OR(COUNTIFS('运行记录'!$A$7:$A$150,B89)&lt;&gt;1,COUNTIFS($A$7:$A$150,A89)&lt;&gt;1),"ID无效或重复",IF(OR(D89="",E89="",F89=""),"待补齐场景",IF(AND(J89="未体验",K89="未体验"),"未体验",IF(OR(J89="未体验",K89="未体验"),"需核对未体验",IF(COUNTA(G89:M89)&lt;&gt;7,"待补齐关键内容","已反馈"))))))</x:f>
        <x:v>待反馈</x:v>
      </x:c>
      <x:c r="Q89" s="89" t="n">
        <x:f>IF(AND(P89="已反馈",O89&lt;&gt;""),1,0)</x:f>
        <x:v>0</x:v>
      </x:c>
      <x:c r="R89" s="91"/>
      <x:c r="S89" s="91"/>
      <x:c r="T89" s="89" t="n">
        <x:f>IF(AND(P89="已反馈",Q89=1,R89="已核对",S89&lt;&gt;""),1,0)</x:f>
        <x:v>0</x:v>
      </x:c>
    </x:row>
    <x:row r="90" ht="76" customHeight="1">
      <x:c r="A90" s="88" t="str">
        <x:v>FB084</x:v>
      </x:c>
      <x:c r="B90" s="86"/>
      <x:c r="C90" s="88" t="str">
        <x:f>IF(COUNTIFS('运行记录'!$A$7:$A$150,B90)=1,INDEX('运行记录'!$E$7:$E$150,MATCH(B90,'运行记录'!$A$7:$A$150,0)),"")</x:f>
      </x:c>
      <x:c r="D90" s="89" t="str">
        <x:f>IF(C90="","",IF(INDEX('特性清单'!$B$7:$B$18,MATCH(INDEX('运行记录'!$C$7:$C$150,MATCH(B90,'运行记录'!$A$7:$A$150,0)),'特性清单'!$A$7:$A$18,0))="","",INDEX('特性清单'!$B$7:$B$18,MATCH(INDEX('运行记录'!$C$7:$C$150,MATCH(B90,'运行记录'!$A$7:$A$150,0)),'特性清单'!$A$7:$A$18,0))))</x:f>
      </x:c>
      <x:c r="E90" s="91"/>
      <x:c r="F90" s="91"/>
      <x:c r="G90" s="91"/>
      <x:c r="H90" s="91"/>
      <x:c r="I90" s="91"/>
      <x:c r="J90" s="91"/>
      <x:c r="K90" s="91"/>
      <x:c r="L90" s="91"/>
      <x:c r="M90" s="91"/>
      <x:c r="N90" s="91"/>
      <x:c r="O90" s="91"/>
      <x:c r="P90" s="89" t="str">
        <x:f>IF(COUNTA(B90)+COUNTA(E90:O90)+COUNTA(R90:S90)=0,"待反馈",IF(OR(COUNTIFS('运行记录'!$A$7:$A$150,B90)&lt;&gt;1,COUNTIFS($A$7:$A$150,A90)&lt;&gt;1),"ID无效或重复",IF(OR(D90="",E90="",F90=""),"待补齐场景",IF(AND(J90="未体验",K90="未体验"),"未体验",IF(OR(J90="未体验",K90="未体验"),"需核对未体验",IF(COUNTA(G90:M90)&lt;&gt;7,"待补齐关键内容","已反馈"))))))</x:f>
        <x:v>待反馈</x:v>
      </x:c>
      <x:c r="Q90" s="89" t="n">
        <x:f>IF(AND(P90="已反馈",O90&lt;&gt;""),1,0)</x:f>
        <x:v>0</x:v>
      </x:c>
      <x:c r="R90" s="91"/>
      <x:c r="S90" s="91"/>
      <x:c r="T90" s="89" t="n">
        <x:f>IF(AND(P90="已反馈",Q90=1,R90="已核对",S90&lt;&gt;""),1,0)</x:f>
        <x:v>0</x:v>
      </x:c>
    </x:row>
    <x:row r="91" ht="76" customHeight="1">
      <x:c r="A91" s="88" t="str">
        <x:v>FB085</x:v>
      </x:c>
      <x:c r="B91" s="86"/>
      <x:c r="C91" s="88" t="str">
        <x:f>IF(COUNTIFS('运行记录'!$A$7:$A$150,B91)=1,INDEX('运行记录'!$E$7:$E$150,MATCH(B91,'运行记录'!$A$7:$A$150,0)),"")</x:f>
      </x:c>
      <x:c r="D91" s="89" t="str">
        <x:f>IF(C91="","",IF(INDEX('特性清单'!$B$7:$B$18,MATCH(INDEX('运行记录'!$C$7:$C$150,MATCH(B91,'运行记录'!$A$7:$A$150,0)),'特性清单'!$A$7:$A$18,0))="","",INDEX('特性清单'!$B$7:$B$18,MATCH(INDEX('运行记录'!$C$7:$C$150,MATCH(B91,'运行记录'!$A$7:$A$150,0)),'特性清单'!$A$7:$A$18,0))))</x:f>
      </x:c>
      <x:c r="E91" s="91"/>
      <x:c r="F91" s="91"/>
      <x:c r="G91" s="91"/>
      <x:c r="H91" s="91"/>
      <x:c r="I91" s="91"/>
      <x:c r="J91" s="91"/>
      <x:c r="K91" s="91"/>
      <x:c r="L91" s="91"/>
      <x:c r="M91" s="91"/>
      <x:c r="N91" s="91"/>
      <x:c r="O91" s="91"/>
      <x:c r="P91" s="89" t="str">
        <x:f>IF(COUNTA(B91)+COUNTA(E91:O91)+COUNTA(R91:S91)=0,"待反馈",IF(OR(COUNTIFS('运行记录'!$A$7:$A$150,B91)&lt;&gt;1,COUNTIFS($A$7:$A$150,A91)&lt;&gt;1),"ID无效或重复",IF(OR(D91="",E91="",F91=""),"待补齐场景",IF(AND(J91="未体验",K91="未体验"),"未体验",IF(OR(J91="未体验",K91="未体验"),"需核对未体验",IF(COUNTA(G91:M91)&lt;&gt;7,"待补齐关键内容","已反馈"))))))</x:f>
        <x:v>待反馈</x:v>
      </x:c>
      <x:c r="Q91" s="89" t="n">
        <x:f>IF(AND(P91="已反馈",O91&lt;&gt;""),1,0)</x:f>
        <x:v>0</x:v>
      </x:c>
      <x:c r="R91" s="91"/>
      <x:c r="S91" s="91"/>
      <x:c r="T91" s="89" t="n">
        <x:f>IF(AND(P91="已反馈",Q91=1,R91="已核对",S91&lt;&gt;""),1,0)</x:f>
        <x:v>0</x:v>
      </x:c>
    </x:row>
    <x:row r="92" ht="76" customHeight="1">
      <x:c r="A92" s="88" t="str">
        <x:v>FB086</x:v>
      </x:c>
      <x:c r="B92" s="86"/>
      <x:c r="C92" s="88" t="str">
        <x:f>IF(COUNTIFS('运行记录'!$A$7:$A$150,B92)=1,INDEX('运行记录'!$E$7:$E$150,MATCH(B92,'运行记录'!$A$7:$A$150,0)),"")</x:f>
      </x:c>
      <x:c r="D92" s="89" t="str">
        <x:f>IF(C92="","",IF(INDEX('特性清单'!$B$7:$B$18,MATCH(INDEX('运行记录'!$C$7:$C$150,MATCH(B92,'运行记录'!$A$7:$A$150,0)),'特性清单'!$A$7:$A$18,0))="","",INDEX('特性清单'!$B$7:$B$18,MATCH(INDEX('运行记录'!$C$7:$C$150,MATCH(B92,'运行记录'!$A$7:$A$150,0)),'特性清单'!$A$7:$A$18,0))))</x:f>
      </x:c>
      <x:c r="E92" s="91"/>
      <x:c r="F92" s="91"/>
      <x:c r="G92" s="91"/>
      <x:c r="H92" s="91"/>
      <x:c r="I92" s="91"/>
      <x:c r="J92" s="91"/>
      <x:c r="K92" s="91"/>
      <x:c r="L92" s="91"/>
      <x:c r="M92" s="91"/>
      <x:c r="N92" s="91"/>
      <x:c r="O92" s="91"/>
      <x:c r="P92" s="89" t="str">
        <x:f>IF(COUNTA(B92)+COUNTA(E92:O92)+COUNTA(R92:S92)=0,"待反馈",IF(OR(COUNTIFS('运行记录'!$A$7:$A$150,B92)&lt;&gt;1,COUNTIFS($A$7:$A$150,A92)&lt;&gt;1),"ID无效或重复",IF(OR(D92="",E92="",F92=""),"待补齐场景",IF(AND(J92="未体验",K92="未体验"),"未体验",IF(OR(J92="未体验",K92="未体验"),"需核对未体验",IF(COUNTA(G92:M92)&lt;&gt;7,"待补齐关键内容","已反馈"))))))</x:f>
        <x:v>待反馈</x:v>
      </x:c>
      <x:c r="Q92" s="89" t="n">
        <x:f>IF(AND(P92="已反馈",O92&lt;&gt;""),1,0)</x:f>
        <x:v>0</x:v>
      </x:c>
      <x:c r="R92" s="91"/>
      <x:c r="S92" s="91"/>
      <x:c r="T92" s="89" t="n">
        <x:f>IF(AND(P92="已反馈",Q92=1,R92="已核对",S92&lt;&gt;""),1,0)</x:f>
        <x:v>0</x:v>
      </x:c>
    </x:row>
    <x:row r="93" ht="76" customHeight="1">
      <x:c r="A93" s="88" t="str">
        <x:v>FB087</x:v>
      </x:c>
      <x:c r="B93" s="86"/>
      <x:c r="C93" s="88" t="str">
        <x:f>IF(COUNTIFS('运行记录'!$A$7:$A$150,B93)=1,INDEX('运行记录'!$E$7:$E$150,MATCH(B93,'运行记录'!$A$7:$A$150,0)),"")</x:f>
      </x:c>
      <x:c r="D93" s="89" t="str">
        <x:f>IF(C93="","",IF(INDEX('特性清单'!$B$7:$B$18,MATCH(INDEX('运行记录'!$C$7:$C$150,MATCH(B93,'运行记录'!$A$7:$A$150,0)),'特性清单'!$A$7:$A$18,0))="","",INDEX('特性清单'!$B$7:$B$18,MATCH(INDEX('运行记录'!$C$7:$C$150,MATCH(B93,'运行记录'!$A$7:$A$150,0)),'特性清单'!$A$7:$A$18,0))))</x:f>
      </x:c>
      <x:c r="E93" s="91"/>
      <x:c r="F93" s="91"/>
      <x:c r="G93" s="91"/>
      <x:c r="H93" s="91"/>
      <x:c r="I93" s="91"/>
      <x:c r="J93" s="91"/>
      <x:c r="K93" s="91"/>
      <x:c r="L93" s="91"/>
      <x:c r="M93" s="91"/>
      <x:c r="N93" s="91"/>
      <x:c r="O93" s="91"/>
      <x:c r="P93" s="89" t="str">
        <x:f>IF(COUNTA(B93)+COUNTA(E93:O93)+COUNTA(R93:S93)=0,"待反馈",IF(OR(COUNTIFS('运行记录'!$A$7:$A$150,B93)&lt;&gt;1,COUNTIFS($A$7:$A$150,A93)&lt;&gt;1),"ID无效或重复",IF(OR(D93="",E93="",F93=""),"待补齐场景",IF(AND(J93="未体验",K93="未体验"),"未体验",IF(OR(J93="未体验",K93="未体验"),"需核对未体验",IF(COUNTA(G93:M93)&lt;&gt;7,"待补齐关键内容","已反馈"))))))</x:f>
        <x:v>待反馈</x:v>
      </x:c>
      <x:c r="Q93" s="89" t="n">
        <x:f>IF(AND(P93="已反馈",O93&lt;&gt;""),1,0)</x:f>
        <x:v>0</x:v>
      </x:c>
      <x:c r="R93" s="91"/>
      <x:c r="S93" s="91"/>
      <x:c r="T93" s="89" t="n">
        <x:f>IF(AND(P93="已反馈",Q93=1,R93="已核对",S93&lt;&gt;""),1,0)</x:f>
        <x:v>0</x:v>
      </x:c>
    </x:row>
    <x:row r="94" ht="76" customHeight="1">
      <x:c r="A94" s="88" t="str">
        <x:v>FB088</x:v>
      </x:c>
      <x:c r="B94" s="86"/>
      <x:c r="C94" s="88" t="str">
        <x:f>IF(COUNTIFS('运行记录'!$A$7:$A$150,B94)=1,INDEX('运行记录'!$E$7:$E$150,MATCH(B94,'运行记录'!$A$7:$A$150,0)),"")</x:f>
      </x:c>
      <x:c r="D94" s="89" t="str">
        <x:f>IF(C94="","",IF(INDEX('特性清单'!$B$7:$B$18,MATCH(INDEX('运行记录'!$C$7:$C$150,MATCH(B94,'运行记录'!$A$7:$A$150,0)),'特性清单'!$A$7:$A$18,0))="","",INDEX('特性清单'!$B$7:$B$18,MATCH(INDEX('运行记录'!$C$7:$C$150,MATCH(B94,'运行记录'!$A$7:$A$150,0)),'特性清单'!$A$7:$A$18,0))))</x:f>
      </x:c>
      <x:c r="E94" s="91"/>
      <x:c r="F94" s="91"/>
      <x:c r="G94" s="91"/>
      <x:c r="H94" s="91"/>
      <x:c r="I94" s="91"/>
      <x:c r="J94" s="91"/>
      <x:c r="K94" s="91"/>
      <x:c r="L94" s="91"/>
      <x:c r="M94" s="91"/>
      <x:c r="N94" s="91"/>
      <x:c r="O94" s="91"/>
      <x:c r="P94" s="89" t="str">
        <x:f>IF(COUNTA(B94)+COUNTA(E94:O94)+COUNTA(R94:S94)=0,"待反馈",IF(OR(COUNTIFS('运行记录'!$A$7:$A$150,B94)&lt;&gt;1,COUNTIFS($A$7:$A$150,A94)&lt;&gt;1),"ID无效或重复",IF(OR(D94="",E94="",F94=""),"待补齐场景",IF(AND(J94="未体验",K94="未体验"),"未体验",IF(OR(J94="未体验",K94="未体验"),"需核对未体验",IF(COUNTA(G94:M94)&lt;&gt;7,"待补齐关键内容","已反馈"))))))</x:f>
        <x:v>待反馈</x:v>
      </x:c>
      <x:c r="Q94" s="89" t="n">
        <x:f>IF(AND(P94="已反馈",O94&lt;&gt;""),1,0)</x:f>
        <x:v>0</x:v>
      </x:c>
      <x:c r="R94" s="91"/>
      <x:c r="S94" s="91"/>
      <x:c r="T94" s="89" t="n">
        <x:f>IF(AND(P94="已反馈",Q94=1,R94="已核对",S94&lt;&gt;""),1,0)</x:f>
        <x:v>0</x:v>
      </x:c>
    </x:row>
    <x:row r="95" ht="76" customHeight="1">
      <x:c r="A95" s="88" t="str">
        <x:v>FB089</x:v>
      </x:c>
      <x:c r="B95" s="86"/>
      <x:c r="C95" s="88" t="str">
        <x:f>IF(COUNTIFS('运行记录'!$A$7:$A$150,B95)=1,INDEX('运行记录'!$E$7:$E$150,MATCH(B95,'运行记录'!$A$7:$A$150,0)),"")</x:f>
      </x:c>
      <x:c r="D95" s="89" t="str">
        <x:f>IF(C95="","",IF(INDEX('特性清单'!$B$7:$B$18,MATCH(INDEX('运行记录'!$C$7:$C$150,MATCH(B95,'运行记录'!$A$7:$A$150,0)),'特性清单'!$A$7:$A$18,0))="","",INDEX('特性清单'!$B$7:$B$18,MATCH(INDEX('运行记录'!$C$7:$C$150,MATCH(B95,'运行记录'!$A$7:$A$150,0)),'特性清单'!$A$7:$A$18,0))))</x:f>
      </x:c>
      <x:c r="E95" s="91"/>
      <x:c r="F95" s="91"/>
      <x:c r="G95" s="91"/>
      <x:c r="H95" s="91"/>
      <x:c r="I95" s="91"/>
      <x:c r="J95" s="91"/>
      <x:c r="K95" s="91"/>
      <x:c r="L95" s="91"/>
      <x:c r="M95" s="91"/>
      <x:c r="N95" s="91"/>
      <x:c r="O95" s="91"/>
      <x:c r="P95" s="89" t="str">
        <x:f>IF(COUNTA(B95)+COUNTA(E95:O95)+COUNTA(R95:S95)=0,"待反馈",IF(OR(COUNTIFS('运行记录'!$A$7:$A$150,B95)&lt;&gt;1,COUNTIFS($A$7:$A$150,A95)&lt;&gt;1),"ID无效或重复",IF(OR(D95="",E95="",F95=""),"待补齐场景",IF(AND(J95="未体验",K95="未体验"),"未体验",IF(OR(J95="未体验",K95="未体验"),"需核对未体验",IF(COUNTA(G95:M95)&lt;&gt;7,"待补齐关键内容","已反馈"))))))</x:f>
        <x:v>待反馈</x:v>
      </x:c>
      <x:c r="Q95" s="89" t="n">
        <x:f>IF(AND(P95="已反馈",O95&lt;&gt;""),1,0)</x:f>
        <x:v>0</x:v>
      </x:c>
      <x:c r="R95" s="91"/>
      <x:c r="S95" s="91"/>
      <x:c r="T95" s="89" t="n">
        <x:f>IF(AND(P95="已反馈",Q95=1,R95="已核对",S95&lt;&gt;""),1,0)</x:f>
        <x:v>0</x:v>
      </x:c>
    </x:row>
    <x:row r="96" ht="76" customHeight="1">
      <x:c r="A96" s="88" t="str">
        <x:v>FB090</x:v>
      </x:c>
      <x:c r="B96" s="86"/>
      <x:c r="C96" s="88" t="str">
        <x:f>IF(COUNTIFS('运行记录'!$A$7:$A$150,B96)=1,INDEX('运行记录'!$E$7:$E$150,MATCH(B96,'运行记录'!$A$7:$A$150,0)),"")</x:f>
      </x:c>
      <x:c r="D96" s="89" t="str">
        <x:f>IF(C96="","",IF(INDEX('特性清单'!$B$7:$B$18,MATCH(INDEX('运行记录'!$C$7:$C$150,MATCH(B96,'运行记录'!$A$7:$A$150,0)),'特性清单'!$A$7:$A$18,0))="","",INDEX('特性清单'!$B$7:$B$18,MATCH(INDEX('运行记录'!$C$7:$C$150,MATCH(B96,'运行记录'!$A$7:$A$150,0)),'特性清单'!$A$7:$A$18,0))))</x:f>
      </x:c>
      <x:c r="E96" s="91"/>
      <x:c r="F96" s="91"/>
      <x:c r="G96" s="91"/>
      <x:c r="H96" s="91"/>
      <x:c r="I96" s="91"/>
      <x:c r="J96" s="91"/>
      <x:c r="K96" s="91"/>
      <x:c r="L96" s="91"/>
      <x:c r="M96" s="91"/>
      <x:c r="N96" s="91"/>
      <x:c r="O96" s="91"/>
      <x:c r="P96" s="89" t="str">
        <x:f>IF(COUNTA(B96)+COUNTA(E96:O96)+COUNTA(R96:S96)=0,"待反馈",IF(OR(COUNTIFS('运行记录'!$A$7:$A$150,B96)&lt;&gt;1,COUNTIFS($A$7:$A$150,A96)&lt;&gt;1),"ID无效或重复",IF(OR(D96="",E96="",F96=""),"待补齐场景",IF(AND(J96="未体验",K96="未体验"),"未体验",IF(OR(J96="未体验",K96="未体验"),"需核对未体验",IF(COUNTA(G96:M96)&lt;&gt;7,"待补齐关键内容","已反馈"))))))</x:f>
        <x:v>待反馈</x:v>
      </x:c>
      <x:c r="Q96" s="89" t="n">
        <x:f>IF(AND(P96="已反馈",O96&lt;&gt;""),1,0)</x:f>
        <x:v>0</x:v>
      </x:c>
      <x:c r="R96" s="91"/>
      <x:c r="S96" s="91"/>
      <x:c r="T96" s="89" t="n">
        <x:f>IF(AND(P96="已反馈",Q96=1,R96="已核对",S96&lt;&gt;""),1,0)</x:f>
        <x:v>0</x:v>
      </x:c>
    </x:row>
    <x:row r="97" ht="76" customHeight="1">
      <x:c r="A97" s="88" t="str">
        <x:v>FB091</x:v>
      </x:c>
      <x:c r="B97" s="86"/>
      <x:c r="C97" s="88" t="str">
        <x:f>IF(COUNTIFS('运行记录'!$A$7:$A$150,B97)=1,INDEX('运行记录'!$E$7:$E$150,MATCH(B97,'运行记录'!$A$7:$A$150,0)),"")</x:f>
      </x:c>
      <x:c r="D97" s="89" t="str">
        <x:f>IF(C97="","",IF(INDEX('特性清单'!$B$7:$B$18,MATCH(INDEX('运行记录'!$C$7:$C$150,MATCH(B97,'运行记录'!$A$7:$A$150,0)),'特性清单'!$A$7:$A$18,0))="","",INDEX('特性清单'!$B$7:$B$18,MATCH(INDEX('运行记录'!$C$7:$C$150,MATCH(B97,'运行记录'!$A$7:$A$150,0)),'特性清单'!$A$7:$A$18,0))))</x:f>
      </x:c>
      <x:c r="E97" s="91"/>
      <x:c r="F97" s="91"/>
      <x:c r="G97" s="91"/>
      <x:c r="H97" s="91"/>
      <x:c r="I97" s="91"/>
      <x:c r="J97" s="91"/>
      <x:c r="K97" s="91"/>
      <x:c r="L97" s="91"/>
      <x:c r="M97" s="91"/>
      <x:c r="N97" s="91"/>
      <x:c r="O97" s="91"/>
      <x:c r="P97" s="89" t="str">
        <x:f>IF(COUNTA(B97)+COUNTA(E97:O97)+COUNTA(R97:S97)=0,"待反馈",IF(OR(COUNTIFS('运行记录'!$A$7:$A$150,B97)&lt;&gt;1,COUNTIFS($A$7:$A$150,A97)&lt;&gt;1),"ID无效或重复",IF(OR(D97="",E97="",F97=""),"待补齐场景",IF(AND(J97="未体验",K97="未体验"),"未体验",IF(OR(J97="未体验",K97="未体验"),"需核对未体验",IF(COUNTA(G97:M97)&lt;&gt;7,"待补齐关键内容","已反馈"))))))</x:f>
        <x:v>待反馈</x:v>
      </x:c>
      <x:c r="Q97" s="89" t="n">
        <x:f>IF(AND(P97="已反馈",O97&lt;&gt;""),1,0)</x:f>
        <x:v>0</x:v>
      </x:c>
      <x:c r="R97" s="91"/>
      <x:c r="S97" s="91"/>
      <x:c r="T97" s="89" t="n">
        <x:f>IF(AND(P97="已反馈",Q97=1,R97="已核对",S97&lt;&gt;""),1,0)</x:f>
        <x:v>0</x:v>
      </x:c>
    </x:row>
    <x:row r="98" ht="76" customHeight="1">
      <x:c r="A98" s="88" t="str">
        <x:v>FB092</x:v>
      </x:c>
      <x:c r="B98" s="86"/>
      <x:c r="C98" s="88" t="str">
        <x:f>IF(COUNTIFS('运行记录'!$A$7:$A$150,B98)=1,INDEX('运行记录'!$E$7:$E$150,MATCH(B98,'运行记录'!$A$7:$A$150,0)),"")</x:f>
      </x:c>
      <x:c r="D98" s="89" t="str">
        <x:f>IF(C98="","",IF(INDEX('特性清单'!$B$7:$B$18,MATCH(INDEX('运行记录'!$C$7:$C$150,MATCH(B98,'运行记录'!$A$7:$A$150,0)),'特性清单'!$A$7:$A$18,0))="","",INDEX('特性清单'!$B$7:$B$18,MATCH(INDEX('运行记录'!$C$7:$C$150,MATCH(B98,'运行记录'!$A$7:$A$150,0)),'特性清单'!$A$7:$A$18,0))))</x:f>
      </x:c>
      <x:c r="E98" s="91"/>
      <x:c r="F98" s="91"/>
      <x:c r="G98" s="91"/>
      <x:c r="H98" s="91"/>
      <x:c r="I98" s="91"/>
      <x:c r="J98" s="91"/>
      <x:c r="K98" s="91"/>
      <x:c r="L98" s="91"/>
      <x:c r="M98" s="91"/>
      <x:c r="N98" s="91"/>
      <x:c r="O98" s="91"/>
      <x:c r="P98" s="89" t="str">
        <x:f>IF(COUNTA(B98)+COUNTA(E98:O98)+COUNTA(R98:S98)=0,"待反馈",IF(OR(COUNTIFS('运行记录'!$A$7:$A$150,B98)&lt;&gt;1,COUNTIFS($A$7:$A$150,A98)&lt;&gt;1),"ID无效或重复",IF(OR(D98="",E98="",F98=""),"待补齐场景",IF(AND(J98="未体验",K98="未体验"),"未体验",IF(OR(J98="未体验",K98="未体验"),"需核对未体验",IF(COUNTA(G98:M98)&lt;&gt;7,"待补齐关键内容","已反馈"))))))</x:f>
        <x:v>待反馈</x:v>
      </x:c>
      <x:c r="Q98" s="89" t="n">
        <x:f>IF(AND(P98="已反馈",O98&lt;&gt;""),1,0)</x:f>
        <x:v>0</x:v>
      </x:c>
      <x:c r="R98" s="91"/>
      <x:c r="S98" s="91"/>
      <x:c r="T98" s="89" t="n">
        <x:f>IF(AND(P98="已反馈",Q98=1,R98="已核对",S98&lt;&gt;""),1,0)</x:f>
        <x:v>0</x:v>
      </x:c>
    </x:row>
    <x:row r="99" ht="76" customHeight="1">
      <x:c r="A99" s="88" t="str">
        <x:v>FB093</x:v>
      </x:c>
      <x:c r="B99" s="86"/>
      <x:c r="C99" s="88" t="str">
        <x:f>IF(COUNTIFS('运行记录'!$A$7:$A$150,B99)=1,INDEX('运行记录'!$E$7:$E$150,MATCH(B99,'运行记录'!$A$7:$A$150,0)),"")</x:f>
      </x:c>
      <x:c r="D99" s="89" t="str">
        <x:f>IF(C99="","",IF(INDEX('特性清单'!$B$7:$B$18,MATCH(INDEX('运行记录'!$C$7:$C$150,MATCH(B99,'运行记录'!$A$7:$A$150,0)),'特性清单'!$A$7:$A$18,0))="","",INDEX('特性清单'!$B$7:$B$18,MATCH(INDEX('运行记录'!$C$7:$C$150,MATCH(B99,'运行记录'!$A$7:$A$150,0)),'特性清单'!$A$7:$A$18,0))))</x:f>
      </x:c>
      <x:c r="E99" s="91"/>
      <x:c r="F99" s="91"/>
      <x:c r="G99" s="91"/>
      <x:c r="H99" s="91"/>
      <x:c r="I99" s="91"/>
      <x:c r="J99" s="91"/>
      <x:c r="K99" s="91"/>
      <x:c r="L99" s="91"/>
      <x:c r="M99" s="91"/>
      <x:c r="N99" s="91"/>
      <x:c r="O99" s="91"/>
      <x:c r="P99" s="89" t="str">
        <x:f>IF(COUNTA(B99)+COUNTA(E99:O99)+COUNTA(R99:S99)=0,"待反馈",IF(OR(COUNTIFS('运行记录'!$A$7:$A$150,B99)&lt;&gt;1,COUNTIFS($A$7:$A$150,A99)&lt;&gt;1),"ID无效或重复",IF(OR(D99="",E99="",F99=""),"待补齐场景",IF(AND(J99="未体验",K99="未体验"),"未体验",IF(OR(J99="未体验",K99="未体验"),"需核对未体验",IF(COUNTA(G99:M99)&lt;&gt;7,"待补齐关键内容","已反馈"))))))</x:f>
        <x:v>待反馈</x:v>
      </x:c>
      <x:c r="Q99" s="89" t="n">
        <x:f>IF(AND(P99="已反馈",O99&lt;&gt;""),1,0)</x:f>
        <x:v>0</x:v>
      </x:c>
      <x:c r="R99" s="91"/>
      <x:c r="S99" s="91"/>
      <x:c r="T99" s="89" t="n">
        <x:f>IF(AND(P99="已反馈",Q99=1,R99="已核对",S99&lt;&gt;""),1,0)</x:f>
        <x:v>0</x:v>
      </x:c>
    </x:row>
    <x:row r="100" ht="76" customHeight="1">
      <x:c r="A100" s="88" t="str">
        <x:v>FB094</x:v>
      </x:c>
      <x:c r="B100" s="86"/>
      <x:c r="C100" s="88" t="str">
        <x:f>IF(COUNTIFS('运行记录'!$A$7:$A$150,B100)=1,INDEX('运行记录'!$E$7:$E$150,MATCH(B100,'运行记录'!$A$7:$A$150,0)),"")</x:f>
      </x:c>
      <x:c r="D100" s="89" t="str">
        <x:f>IF(C100="","",IF(INDEX('特性清单'!$B$7:$B$18,MATCH(INDEX('运行记录'!$C$7:$C$150,MATCH(B100,'运行记录'!$A$7:$A$150,0)),'特性清单'!$A$7:$A$18,0))="","",INDEX('特性清单'!$B$7:$B$18,MATCH(INDEX('运行记录'!$C$7:$C$150,MATCH(B100,'运行记录'!$A$7:$A$150,0)),'特性清单'!$A$7:$A$18,0))))</x:f>
      </x:c>
      <x:c r="E100" s="91"/>
      <x:c r="F100" s="91"/>
      <x:c r="G100" s="91"/>
      <x:c r="H100" s="91"/>
      <x:c r="I100" s="91"/>
      <x:c r="J100" s="91"/>
      <x:c r="K100" s="91"/>
      <x:c r="L100" s="91"/>
      <x:c r="M100" s="91"/>
      <x:c r="N100" s="91"/>
      <x:c r="O100" s="91"/>
      <x:c r="P100" s="89" t="str">
        <x:f>IF(COUNTA(B100)+COUNTA(E100:O100)+COUNTA(R100:S100)=0,"待反馈",IF(OR(COUNTIFS('运行记录'!$A$7:$A$150,B100)&lt;&gt;1,COUNTIFS($A$7:$A$150,A100)&lt;&gt;1),"ID无效或重复",IF(OR(D100="",E100="",F100=""),"待补齐场景",IF(AND(J100="未体验",K100="未体验"),"未体验",IF(OR(J100="未体验",K100="未体验"),"需核对未体验",IF(COUNTA(G100:M100)&lt;&gt;7,"待补齐关键内容","已反馈"))))))</x:f>
        <x:v>待反馈</x:v>
      </x:c>
      <x:c r="Q100" s="89" t="n">
        <x:f>IF(AND(P100="已反馈",O100&lt;&gt;""),1,0)</x:f>
        <x:v>0</x:v>
      </x:c>
      <x:c r="R100" s="91"/>
      <x:c r="S100" s="91"/>
      <x:c r="T100" s="89" t="n">
        <x:f>IF(AND(P100="已反馈",Q100=1,R100="已核对",S100&lt;&gt;""),1,0)</x:f>
        <x:v>0</x:v>
      </x:c>
    </x:row>
    <x:row r="101" ht="76" customHeight="1">
      <x:c r="A101" s="88" t="str">
        <x:v>FB095</x:v>
      </x:c>
      <x:c r="B101" s="86"/>
      <x:c r="C101" s="88" t="str">
        <x:f>IF(COUNTIFS('运行记录'!$A$7:$A$150,B101)=1,INDEX('运行记录'!$E$7:$E$150,MATCH(B101,'运行记录'!$A$7:$A$150,0)),"")</x:f>
      </x:c>
      <x:c r="D101" s="89" t="str">
        <x:f>IF(C101="","",IF(INDEX('特性清单'!$B$7:$B$18,MATCH(INDEX('运行记录'!$C$7:$C$150,MATCH(B101,'运行记录'!$A$7:$A$150,0)),'特性清单'!$A$7:$A$18,0))="","",INDEX('特性清单'!$B$7:$B$18,MATCH(INDEX('运行记录'!$C$7:$C$150,MATCH(B101,'运行记录'!$A$7:$A$150,0)),'特性清单'!$A$7:$A$18,0))))</x:f>
      </x:c>
      <x:c r="E101" s="91"/>
      <x:c r="F101" s="91"/>
      <x:c r="G101" s="91"/>
      <x:c r="H101" s="91"/>
      <x:c r="I101" s="91"/>
      <x:c r="J101" s="91"/>
      <x:c r="K101" s="91"/>
      <x:c r="L101" s="91"/>
      <x:c r="M101" s="91"/>
      <x:c r="N101" s="91"/>
      <x:c r="O101" s="91"/>
      <x:c r="P101" s="89" t="str">
        <x:f>IF(COUNTA(B101)+COUNTA(E101:O101)+COUNTA(R101:S101)=0,"待反馈",IF(OR(COUNTIFS('运行记录'!$A$7:$A$150,B101)&lt;&gt;1,COUNTIFS($A$7:$A$150,A101)&lt;&gt;1),"ID无效或重复",IF(OR(D101="",E101="",F101=""),"待补齐场景",IF(AND(J101="未体验",K101="未体验"),"未体验",IF(OR(J101="未体验",K101="未体验"),"需核对未体验",IF(COUNTA(G101:M101)&lt;&gt;7,"待补齐关键内容","已反馈"))))))</x:f>
        <x:v>待反馈</x:v>
      </x:c>
      <x:c r="Q101" s="89" t="n">
        <x:f>IF(AND(P101="已反馈",O101&lt;&gt;""),1,0)</x:f>
        <x:v>0</x:v>
      </x:c>
      <x:c r="R101" s="91"/>
      <x:c r="S101" s="91"/>
      <x:c r="T101" s="89" t="n">
        <x:f>IF(AND(P101="已反馈",Q101=1,R101="已核对",S101&lt;&gt;""),1,0)</x:f>
        <x:v>0</x:v>
      </x:c>
    </x:row>
    <x:row r="102" ht="76" customHeight="1">
      <x:c r="A102" s="88" t="str">
        <x:v>FB096</x:v>
      </x:c>
      <x:c r="B102" s="86"/>
      <x:c r="C102" s="88" t="str">
        <x:f>IF(COUNTIFS('运行记录'!$A$7:$A$150,B102)=1,INDEX('运行记录'!$E$7:$E$150,MATCH(B102,'运行记录'!$A$7:$A$150,0)),"")</x:f>
      </x:c>
      <x:c r="D102" s="89" t="str">
        <x:f>IF(C102="","",IF(INDEX('特性清单'!$B$7:$B$18,MATCH(INDEX('运行记录'!$C$7:$C$150,MATCH(B102,'运行记录'!$A$7:$A$150,0)),'特性清单'!$A$7:$A$18,0))="","",INDEX('特性清单'!$B$7:$B$18,MATCH(INDEX('运行记录'!$C$7:$C$150,MATCH(B102,'运行记录'!$A$7:$A$150,0)),'特性清单'!$A$7:$A$18,0))))</x:f>
      </x:c>
      <x:c r="E102" s="91"/>
      <x:c r="F102" s="91"/>
      <x:c r="G102" s="91"/>
      <x:c r="H102" s="91"/>
      <x:c r="I102" s="91"/>
      <x:c r="J102" s="91"/>
      <x:c r="K102" s="91"/>
      <x:c r="L102" s="91"/>
      <x:c r="M102" s="91"/>
      <x:c r="N102" s="91"/>
      <x:c r="O102" s="91"/>
      <x:c r="P102" s="89" t="str">
        <x:f>IF(COUNTA(B102)+COUNTA(E102:O102)+COUNTA(R102:S102)=0,"待反馈",IF(OR(COUNTIFS('运行记录'!$A$7:$A$150,B102)&lt;&gt;1,COUNTIFS($A$7:$A$150,A102)&lt;&gt;1),"ID无效或重复",IF(OR(D102="",E102="",F102=""),"待补齐场景",IF(AND(J102="未体验",K102="未体验"),"未体验",IF(OR(J102="未体验",K102="未体验"),"需核对未体验",IF(COUNTA(G102:M102)&lt;&gt;7,"待补齐关键内容","已反馈"))))))</x:f>
        <x:v>待反馈</x:v>
      </x:c>
      <x:c r="Q102" s="89" t="n">
        <x:f>IF(AND(P102="已反馈",O102&lt;&gt;""),1,0)</x:f>
        <x:v>0</x:v>
      </x:c>
      <x:c r="R102" s="91"/>
      <x:c r="S102" s="91"/>
      <x:c r="T102" s="89" t="n">
        <x:f>IF(AND(P102="已反馈",Q102=1,R102="已核对",S102&lt;&gt;""),1,0)</x:f>
        <x:v>0</x:v>
      </x:c>
    </x:row>
    <x:row r="103" ht="76" customHeight="1">
      <x:c r="A103" s="88" t="str">
        <x:v>FB097</x:v>
      </x:c>
      <x:c r="B103" s="86"/>
      <x:c r="C103" s="88" t="str">
        <x:f>IF(COUNTIFS('运行记录'!$A$7:$A$150,B103)=1,INDEX('运行记录'!$E$7:$E$150,MATCH(B103,'运行记录'!$A$7:$A$150,0)),"")</x:f>
      </x:c>
      <x:c r="D103" s="89" t="str">
        <x:f>IF(C103="","",IF(INDEX('特性清单'!$B$7:$B$18,MATCH(INDEX('运行记录'!$C$7:$C$150,MATCH(B103,'运行记录'!$A$7:$A$150,0)),'特性清单'!$A$7:$A$18,0))="","",INDEX('特性清单'!$B$7:$B$18,MATCH(INDEX('运行记录'!$C$7:$C$150,MATCH(B103,'运行记录'!$A$7:$A$150,0)),'特性清单'!$A$7:$A$18,0))))</x:f>
      </x:c>
      <x:c r="E103" s="91"/>
      <x:c r="F103" s="91"/>
      <x:c r="G103" s="91"/>
      <x:c r="H103" s="91"/>
      <x:c r="I103" s="91"/>
      <x:c r="J103" s="91"/>
      <x:c r="K103" s="91"/>
      <x:c r="L103" s="91"/>
      <x:c r="M103" s="91"/>
      <x:c r="N103" s="91"/>
      <x:c r="O103" s="91"/>
      <x:c r="P103" s="89" t="str">
        <x:f>IF(COUNTA(B103)+COUNTA(E103:O103)+COUNTA(R103:S103)=0,"待反馈",IF(OR(COUNTIFS('运行记录'!$A$7:$A$150,B103)&lt;&gt;1,COUNTIFS($A$7:$A$150,A103)&lt;&gt;1),"ID无效或重复",IF(OR(D103="",E103="",F103=""),"待补齐场景",IF(AND(J103="未体验",K103="未体验"),"未体验",IF(OR(J103="未体验",K103="未体验"),"需核对未体验",IF(COUNTA(G103:M103)&lt;&gt;7,"待补齐关键内容","已反馈"))))))</x:f>
        <x:v>待反馈</x:v>
      </x:c>
      <x:c r="Q103" s="89" t="n">
        <x:f>IF(AND(P103="已反馈",O103&lt;&gt;""),1,0)</x:f>
        <x:v>0</x:v>
      </x:c>
      <x:c r="R103" s="91"/>
      <x:c r="S103" s="91"/>
      <x:c r="T103" s="89" t="n">
        <x:f>IF(AND(P103="已反馈",Q103=1,R103="已核对",S103&lt;&gt;""),1,0)</x:f>
        <x:v>0</x:v>
      </x:c>
    </x:row>
    <x:row r="104" ht="76" customHeight="1">
      <x:c r="A104" s="88" t="str">
        <x:v>FB098</x:v>
      </x:c>
      <x:c r="B104" s="86"/>
      <x:c r="C104" s="88" t="str">
        <x:f>IF(COUNTIFS('运行记录'!$A$7:$A$150,B104)=1,INDEX('运行记录'!$E$7:$E$150,MATCH(B104,'运行记录'!$A$7:$A$150,0)),"")</x:f>
      </x:c>
      <x:c r="D104" s="89" t="str">
        <x:f>IF(C104="","",IF(INDEX('特性清单'!$B$7:$B$18,MATCH(INDEX('运行记录'!$C$7:$C$150,MATCH(B104,'运行记录'!$A$7:$A$150,0)),'特性清单'!$A$7:$A$18,0))="","",INDEX('特性清单'!$B$7:$B$18,MATCH(INDEX('运行记录'!$C$7:$C$150,MATCH(B104,'运行记录'!$A$7:$A$150,0)),'特性清单'!$A$7:$A$18,0))))</x:f>
      </x:c>
      <x:c r="E104" s="91"/>
      <x:c r="F104" s="91"/>
      <x:c r="G104" s="91"/>
      <x:c r="H104" s="91"/>
      <x:c r="I104" s="91"/>
      <x:c r="J104" s="91"/>
      <x:c r="K104" s="91"/>
      <x:c r="L104" s="91"/>
      <x:c r="M104" s="91"/>
      <x:c r="N104" s="91"/>
      <x:c r="O104" s="91"/>
      <x:c r="P104" s="89" t="str">
        <x:f>IF(COUNTA(B104)+COUNTA(E104:O104)+COUNTA(R104:S104)=0,"待反馈",IF(OR(COUNTIFS('运行记录'!$A$7:$A$150,B104)&lt;&gt;1,COUNTIFS($A$7:$A$150,A104)&lt;&gt;1),"ID无效或重复",IF(OR(D104="",E104="",F104=""),"待补齐场景",IF(AND(J104="未体验",K104="未体验"),"未体验",IF(OR(J104="未体验",K104="未体验"),"需核对未体验",IF(COUNTA(G104:M104)&lt;&gt;7,"待补齐关键内容","已反馈"))))))</x:f>
        <x:v>待反馈</x:v>
      </x:c>
      <x:c r="Q104" s="89" t="n">
        <x:f>IF(AND(P104="已反馈",O104&lt;&gt;""),1,0)</x:f>
        <x:v>0</x:v>
      </x:c>
      <x:c r="R104" s="91"/>
      <x:c r="S104" s="91"/>
      <x:c r="T104" s="89" t="n">
        <x:f>IF(AND(P104="已反馈",Q104=1,R104="已核对",S104&lt;&gt;""),1,0)</x:f>
        <x:v>0</x:v>
      </x:c>
    </x:row>
    <x:row r="105" ht="76" customHeight="1">
      <x:c r="A105" s="88" t="str">
        <x:v>FB099</x:v>
      </x:c>
      <x:c r="B105" s="86"/>
      <x:c r="C105" s="88" t="str">
        <x:f>IF(COUNTIFS('运行记录'!$A$7:$A$150,B105)=1,INDEX('运行记录'!$E$7:$E$150,MATCH(B105,'运行记录'!$A$7:$A$150,0)),"")</x:f>
      </x:c>
      <x:c r="D105" s="89" t="str">
        <x:f>IF(C105="","",IF(INDEX('特性清单'!$B$7:$B$18,MATCH(INDEX('运行记录'!$C$7:$C$150,MATCH(B105,'运行记录'!$A$7:$A$150,0)),'特性清单'!$A$7:$A$18,0))="","",INDEX('特性清单'!$B$7:$B$18,MATCH(INDEX('运行记录'!$C$7:$C$150,MATCH(B105,'运行记录'!$A$7:$A$150,0)),'特性清单'!$A$7:$A$18,0))))</x:f>
      </x:c>
      <x:c r="E105" s="91"/>
      <x:c r="F105" s="91"/>
      <x:c r="G105" s="91"/>
      <x:c r="H105" s="91"/>
      <x:c r="I105" s="91"/>
      <x:c r="J105" s="91"/>
      <x:c r="K105" s="91"/>
      <x:c r="L105" s="91"/>
      <x:c r="M105" s="91"/>
      <x:c r="N105" s="91"/>
      <x:c r="O105" s="91"/>
      <x:c r="P105" s="89" t="str">
        <x:f>IF(COUNTA(B105)+COUNTA(E105:O105)+COUNTA(R105:S105)=0,"待反馈",IF(OR(COUNTIFS('运行记录'!$A$7:$A$150,B105)&lt;&gt;1,COUNTIFS($A$7:$A$150,A105)&lt;&gt;1),"ID无效或重复",IF(OR(D105="",E105="",F105=""),"待补齐场景",IF(AND(J105="未体验",K105="未体验"),"未体验",IF(OR(J105="未体验",K105="未体验"),"需核对未体验",IF(COUNTA(G105:M105)&lt;&gt;7,"待补齐关键内容","已反馈"))))))</x:f>
        <x:v>待反馈</x:v>
      </x:c>
      <x:c r="Q105" s="89" t="n">
        <x:f>IF(AND(P105="已反馈",O105&lt;&gt;""),1,0)</x:f>
        <x:v>0</x:v>
      </x:c>
      <x:c r="R105" s="91"/>
      <x:c r="S105" s="91"/>
      <x:c r="T105" s="89" t="n">
        <x:f>IF(AND(P105="已反馈",Q105=1,R105="已核对",S105&lt;&gt;""),1,0)</x:f>
        <x:v>0</x:v>
      </x:c>
    </x:row>
    <x:row r="106" ht="76" customHeight="1">
      <x:c r="A106" s="88" t="str">
        <x:v>FB100</x:v>
      </x:c>
      <x:c r="B106" s="86"/>
      <x:c r="C106" s="88" t="str">
        <x:f>IF(COUNTIFS('运行记录'!$A$7:$A$150,B106)=1,INDEX('运行记录'!$E$7:$E$150,MATCH(B106,'运行记录'!$A$7:$A$150,0)),"")</x:f>
      </x:c>
      <x:c r="D106" s="89" t="str">
        <x:f>IF(C106="","",IF(INDEX('特性清单'!$B$7:$B$18,MATCH(INDEX('运行记录'!$C$7:$C$150,MATCH(B106,'运行记录'!$A$7:$A$150,0)),'特性清单'!$A$7:$A$18,0))="","",INDEX('特性清单'!$B$7:$B$18,MATCH(INDEX('运行记录'!$C$7:$C$150,MATCH(B106,'运行记录'!$A$7:$A$150,0)),'特性清单'!$A$7:$A$18,0))))</x:f>
      </x:c>
      <x:c r="E106" s="91"/>
      <x:c r="F106" s="91"/>
      <x:c r="G106" s="91"/>
      <x:c r="H106" s="91"/>
      <x:c r="I106" s="91"/>
      <x:c r="J106" s="91"/>
      <x:c r="K106" s="91"/>
      <x:c r="L106" s="91"/>
      <x:c r="M106" s="91"/>
      <x:c r="N106" s="91"/>
      <x:c r="O106" s="91"/>
      <x:c r="P106" s="89" t="str">
        <x:f>IF(COUNTA(B106)+COUNTA(E106:O106)+COUNTA(R106:S106)=0,"待反馈",IF(OR(COUNTIFS('运行记录'!$A$7:$A$150,B106)&lt;&gt;1,COUNTIFS($A$7:$A$150,A106)&lt;&gt;1),"ID无效或重复",IF(OR(D106="",E106="",F106=""),"待补齐场景",IF(AND(J106="未体验",K106="未体验"),"未体验",IF(OR(J106="未体验",K106="未体验"),"需核对未体验",IF(COUNTA(G106:M106)&lt;&gt;7,"待补齐关键内容","已反馈"))))))</x:f>
        <x:v>待反馈</x:v>
      </x:c>
      <x:c r="Q106" s="89" t="n">
        <x:f>IF(AND(P106="已反馈",O106&lt;&gt;""),1,0)</x:f>
        <x:v>0</x:v>
      </x:c>
      <x:c r="R106" s="91"/>
      <x:c r="S106" s="91"/>
      <x:c r="T106" s="89" t="n">
        <x:f>IF(AND(P106="已反馈",Q106=1,R106="已核对",S106&lt;&gt;""),1,0)</x:f>
        <x:v>0</x:v>
      </x:c>
    </x:row>
    <x:row r="107" ht="76" customHeight="1">
      <x:c r="A107" s="88" t="str">
        <x:v>FB101</x:v>
      </x:c>
      <x:c r="B107" s="86"/>
      <x:c r="C107" s="88" t="str">
        <x:f>IF(COUNTIFS('运行记录'!$A$7:$A$150,B107)=1,INDEX('运行记录'!$E$7:$E$150,MATCH(B107,'运行记录'!$A$7:$A$150,0)),"")</x:f>
      </x:c>
      <x:c r="D107" s="89" t="str">
        <x:f>IF(C107="","",IF(INDEX('特性清单'!$B$7:$B$18,MATCH(INDEX('运行记录'!$C$7:$C$150,MATCH(B107,'运行记录'!$A$7:$A$150,0)),'特性清单'!$A$7:$A$18,0))="","",INDEX('特性清单'!$B$7:$B$18,MATCH(INDEX('运行记录'!$C$7:$C$150,MATCH(B107,'运行记录'!$A$7:$A$150,0)),'特性清单'!$A$7:$A$18,0))))</x:f>
      </x:c>
      <x:c r="E107" s="91"/>
      <x:c r="F107" s="91"/>
      <x:c r="G107" s="91"/>
      <x:c r="H107" s="91"/>
      <x:c r="I107" s="91"/>
      <x:c r="J107" s="91"/>
      <x:c r="K107" s="91"/>
      <x:c r="L107" s="91"/>
      <x:c r="M107" s="91"/>
      <x:c r="N107" s="91"/>
      <x:c r="O107" s="91"/>
      <x:c r="P107" s="89" t="str">
        <x:f>IF(COUNTA(B107)+COUNTA(E107:O107)+COUNTA(R107:S107)=0,"待反馈",IF(OR(COUNTIFS('运行记录'!$A$7:$A$150,B107)&lt;&gt;1,COUNTIFS($A$7:$A$150,A107)&lt;&gt;1),"ID无效或重复",IF(OR(D107="",E107="",F107=""),"待补齐场景",IF(AND(J107="未体验",K107="未体验"),"未体验",IF(OR(J107="未体验",K107="未体验"),"需核对未体验",IF(COUNTA(G107:M107)&lt;&gt;7,"待补齐关键内容","已反馈"))))))</x:f>
        <x:v>待反馈</x:v>
      </x:c>
      <x:c r="Q107" s="89" t="n">
        <x:f>IF(AND(P107="已反馈",O107&lt;&gt;""),1,0)</x:f>
        <x:v>0</x:v>
      </x:c>
      <x:c r="R107" s="91"/>
      <x:c r="S107" s="91"/>
      <x:c r="T107" s="89" t="n">
        <x:f>IF(AND(P107="已反馈",Q107=1,R107="已核对",S107&lt;&gt;""),1,0)</x:f>
        <x:v>0</x:v>
      </x:c>
    </x:row>
    <x:row r="108" ht="76" customHeight="1">
      <x:c r="A108" s="88" t="str">
        <x:v>FB102</x:v>
      </x:c>
      <x:c r="B108" s="86"/>
      <x:c r="C108" s="88" t="str">
        <x:f>IF(COUNTIFS('运行记录'!$A$7:$A$150,B108)=1,INDEX('运行记录'!$E$7:$E$150,MATCH(B108,'运行记录'!$A$7:$A$150,0)),"")</x:f>
      </x:c>
      <x:c r="D108" s="89" t="str">
        <x:f>IF(C108="","",IF(INDEX('特性清单'!$B$7:$B$18,MATCH(INDEX('运行记录'!$C$7:$C$150,MATCH(B108,'运行记录'!$A$7:$A$150,0)),'特性清单'!$A$7:$A$18,0))="","",INDEX('特性清单'!$B$7:$B$18,MATCH(INDEX('运行记录'!$C$7:$C$150,MATCH(B108,'运行记录'!$A$7:$A$150,0)),'特性清单'!$A$7:$A$18,0))))</x:f>
      </x:c>
      <x:c r="E108" s="91"/>
      <x:c r="F108" s="91"/>
      <x:c r="G108" s="91"/>
      <x:c r="H108" s="91"/>
      <x:c r="I108" s="91"/>
      <x:c r="J108" s="91"/>
      <x:c r="K108" s="91"/>
      <x:c r="L108" s="91"/>
      <x:c r="M108" s="91"/>
      <x:c r="N108" s="91"/>
      <x:c r="O108" s="91"/>
      <x:c r="P108" s="89" t="str">
        <x:f>IF(COUNTA(B108)+COUNTA(E108:O108)+COUNTA(R108:S108)=0,"待反馈",IF(OR(COUNTIFS('运行记录'!$A$7:$A$150,B108)&lt;&gt;1,COUNTIFS($A$7:$A$150,A108)&lt;&gt;1),"ID无效或重复",IF(OR(D108="",E108="",F108=""),"待补齐场景",IF(AND(J108="未体验",K108="未体验"),"未体验",IF(OR(J108="未体验",K108="未体验"),"需核对未体验",IF(COUNTA(G108:M108)&lt;&gt;7,"待补齐关键内容","已反馈"))))))</x:f>
        <x:v>待反馈</x:v>
      </x:c>
      <x:c r="Q108" s="89" t="n">
        <x:f>IF(AND(P108="已反馈",O108&lt;&gt;""),1,0)</x:f>
        <x:v>0</x:v>
      </x:c>
      <x:c r="R108" s="91"/>
      <x:c r="S108" s="91"/>
      <x:c r="T108" s="89" t="n">
        <x:f>IF(AND(P108="已反馈",Q108=1,R108="已核对",S108&lt;&gt;""),1,0)</x:f>
        <x:v>0</x:v>
      </x:c>
    </x:row>
    <x:row r="109" ht="76" customHeight="1">
      <x:c r="A109" s="88" t="str">
        <x:v>FB103</x:v>
      </x:c>
      <x:c r="B109" s="86"/>
      <x:c r="C109" s="88" t="str">
        <x:f>IF(COUNTIFS('运行记录'!$A$7:$A$150,B109)=1,INDEX('运行记录'!$E$7:$E$150,MATCH(B109,'运行记录'!$A$7:$A$150,0)),"")</x:f>
      </x:c>
      <x:c r="D109" s="89" t="str">
        <x:f>IF(C109="","",IF(INDEX('特性清单'!$B$7:$B$18,MATCH(INDEX('运行记录'!$C$7:$C$150,MATCH(B109,'运行记录'!$A$7:$A$150,0)),'特性清单'!$A$7:$A$18,0))="","",INDEX('特性清单'!$B$7:$B$18,MATCH(INDEX('运行记录'!$C$7:$C$150,MATCH(B109,'运行记录'!$A$7:$A$150,0)),'特性清单'!$A$7:$A$18,0))))</x:f>
      </x:c>
      <x:c r="E109" s="91"/>
      <x:c r="F109" s="91"/>
      <x:c r="G109" s="91"/>
      <x:c r="H109" s="91"/>
      <x:c r="I109" s="91"/>
      <x:c r="J109" s="91"/>
      <x:c r="K109" s="91"/>
      <x:c r="L109" s="91"/>
      <x:c r="M109" s="91"/>
      <x:c r="N109" s="91"/>
      <x:c r="O109" s="91"/>
      <x:c r="P109" s="89" t="str">
        <x:f>IF(COUNTA(B109)+COUNTA(E109:O109)+COUNTA(R109:S109)=0,"待反馈",IF(OR(COUNTIFS('运行记录'!$A$7:$A$150,B109)&lt;&gt;1,COUNTIFS($A$7:$A$150,A109)&lt;&gt;1),"ID无效或重复",IF(OR(D109="",E109="",F109=""),"待补齐场景",IF(AND(J109="未体验",K109="未体验"),"未体验",IF(OR(J109="未体验",K109="未体验"),"需核对未体验",IF(COUNTA(G109:M109)&lt;&gt;7,"待补齐关键内容","已反馈"))))))</x:f>
        <x:v>待反馈</x:v>
      </x:c>
      <x:c r="Q109" s="89" t="n">
        <x:f>IF(AND(P109="已反馈",O109&lt;&gt;""),1,0)</x:f>
        <x:v>0</x:v>
      </x:c>
      <x:c r="R109" s="91"/>
      <x:c r="S109" s="91"/>
      <x:c r="T109" s="89" t="n">
        <x:f>IF(AND(P109="已反馈",Q109=1,R109="已核对",S109&lt;&gt;""),1,0)</x:f>
        <x:v>0</x:v>
      </x:c>
    </x:row>
    <x:row r="110" ht="76" customHeight="1">
      <x:c r="A110" s="88" t="str">
        <x:v>FB104</x:v>
      </x:c>
      <x:c r="B110" s="86"/>
      <x:c r="C110" s="88" t="str">
        <x:f>IF(COUNTIFS('运行记录'!$A$7:$A$150,B110)=1,INDEX('运行记录'!$E$7:$E$150,MATCH(B110,'运行记录'!$A$7:$A$150,0)),"")</x:f>
      </x:c>
      <x:c r="D110" s="89" t="str">
        <x:f>IF(C110="","",IF(INDEX('特性清单'!$B$7:$B$18,MATCH(INDEX('运行记录'!$C$7:$C$150,MATCH(B110,'运行记录'!$A$7:$A$150,0)),'特性清单'!$A$7:$A$18,0))="","",INDEX('特性清单'!$B$7:$B$18,MATCH(INDEX('运行记录'!$C$7:$C$150,MATCH(B110,'运行记录'!$A$7:$A$150,0)),'特性清单'!$A$7:$A$18,0))))</x:f>
      </x:c>
      <x:c r="E110" s="91"/>
      <x:c r="F110" s="91"/>
      <x:c r="G110" s="91"/>
      <x:c r="H110" s="91"/>
      <x:c r="I110" s="91"/>
      <x:c r="J110" s="91"/>
      <x:c r="K110" s="91"/>
      <x:c r="L110" s="91"/>
      <x:c r="M110" s="91"/>
      <x:c r="N110" s="91"/>
      <x:c r="O110" s="91"/>
      <x:c r="P110" s="89" t="str">
        <x:f>IF(COUNTA(B110)+COUNTA(E110:O110)+COUNTA(R110:S110)=0,"待反馈",IF(OR(COUNTIFS('运行记录'!$A$7:$A$150,B110)&lt;&gt;1,COUNTIFS($A$7:$A$150,A110)&lt;&gt;1),"ID无效或重复",IF(OR(D110="",E110="",F110=""),"待补齐场景",IF(AND(J110="未体验",K110="未体验"),"未体验",IF(OR(J110="未体验",K110="未体验"),"需核对未体验",IF(COUNTA(G110:M110)&lt;&gt;7,"待补齐关键内容","已反馈"))))))</x:f>
        <x:v>待反馈</x:v>
      </x:c>
      <x:c r="Q110" s="89" t="n">
        <x:f>IF(AND(P110="已反馈",O110&lt;&gt;""),1,0)</x:f>
        <x:v>0</x:v>
      </x:c>
      <x:c r="R110" s="91"/>
      <x:c r="S110" s="91"/>
      <x:c r="T110" s="89" t="n">
        <x:f>IF(AND(P110="已反馈",Q110=1,R110="已核对",S110&lt;&gt;""),1,0)</x:f>
        <x:v>0</x:v>
      </x:c>
    </x:row>
    <x:row r="111" ht="76" customHeight="1">
      <x:c r="A111" s="88" t="str">
        <x:v>FB105</x:v>
      </x:c>
      <x:c r="B111" s="86"/>
      <x:c r="C111" s="88" t="str">
        <x:f>IF(COUNTIFS('运行记录'!$A$7:$A$150,B111)=1,INDEX('运行记录'!$E$7:$E$150,MATCH(B111,'运行记录'!$A$7:$A$150,0)),"")</x:f>
      </x:c>
      <x:c r="D111" s="89" t="str">
        <x:f>IF(C111="","",IF(INDEX('特性清单'!$B$7:$B$18,MATCH(INDEX('运行记录'!$C$7:$C$150,MATCH(B111,'运行记录'!$A$7:$A$150,0)),'特性清单'!$A$7:$A$18,0))="","",INDEX('特性清单'!$B$7:$B$18,MATCH(INDEX('运行记录'!$C$7:$C$150,MATCH(B111,'运行记录'!$A$7:$A$150,0)),'特性清单'!$A$7:$A$18,0))))</x:f>
      </x:c>
      <x:c r="E111" s="91"/>
      <x:c r="F111" s="91"/>
      <x:c r="G111" s="91"/>
      <x:c r="H111" s="91"/>
      <x:c r="I111" s="91"/>
      <x:c r="J111" s="91"/>
      <x:c r="K111" s="91"/>
      <x:c r="L111" s="91"/>
      <x:c r="M111" s="91"/>
      <x:c r="N111" s="91"/>
      <x:c r="O111" s="91"/>
      <x:c r="P111" s="89" t="str">
        <x:f>IF(COUNTA(B111)+COUNTA(E111:O111)+COUNTA(R111:S111)=0,"待反馈",IF(OR(COUNTIFS('运行记录'!$A$7:$A$150,B111)&lt;&gt;1,COUNTIFS($A$7:$A$150,A111)&lt;&gt;1),"ID无效或重复",IF(OR(D111="",E111="",F111=""),"待补齐场景",IF(AND(J111="未体验",K111="未体验"),"未体验",IF(OR(J111="未体验",K111="未体验"),"需核对未体验",IF(COUNTA(G111:M111)&lt;&gt;7,"待补齐关键内容","已反馈"))))))</x:f>
        <x:v>待反馈</x:v>
      </x:c>
      <x:c r="Q111" s="89" t="n">
        <x:f>IF(AND(P111="已反馈",O111&lt;&gt;""),1,0)</x:f>
        <x:v>0</x:v>
      </x:c>
      <x:c r="R111" s="91"/>
      <x:c r="S111" s="91"/>
      <x:c r="T111" s="89" t="n">
        <x:f>IF(AND(P111="已反馈",Q111=1,R111="已核对",S111&lt;&gt;""),1,0)</x:f>
        <x:v>0</x:v>
      </x:c>
    </x:row>
    <x:row r="112" ht="76" customHeight="1">
      <x:c r="A112" s="88" t="str">
        <x:v>FB106</x:v>
      </x:c>
      <x:c r="B112" s="86"/>
      <x:c r="C112" s="88" t="str">
        <x:f>IF(COUNTIFS('运行记录'!$A$7:$A$150,B112)=1,INDEX('运行记录'!$E$7:$E$150,MATCH(B112,'运行记录'!$A$7:$A$150,0)),"")</x:f>
      </x:c>
      <x:c r="D112" s="89" t="str">
        <x:f>IF(C112="","",IF(INDEX('特性清单'!$B$7:$B$18,MATCH(INDEX('运行记录'!$C$7:$C$150,MATCH(B112,'运行记录'!$A$7:$A$150,0)),'特性清单'!$A$7:$A$18,0))="","",INDEX('特性清单'!$B$7:$B$18,MATCH(INDEX('运行记录'!$C$7:$C$150,MATCH(B112,'运行记录'!$A$7:$A$150,0)),'特性清单'!$A$7:$A$18,0))))</x:f>
      </x:c>
      <x:c r="E112" s="91"/>
      <x:c r="F112" s="91"/>
      <x:c r="G112" s="91"/>
      <x:c r="H112" s="91"/>
      <x:c r="I112" s="91"/>
      <x:c r="J112" s="91"/>
      <x:c r="K112" s="91"/>
      <x:c r="L112" s="91"/>
      <x:c r="M112" s="91"/>
      <x:c r="N112" s="91"/>
      <x:c r="O112" s="91"/>
      <x:c r="P112" s="89" t="str">
        <x:f>IF(COUNTA(B112)+COUNTA(E112:O112)+COUNTA(R112:S112)=0,"待反馈",IF(OR(COUNTIFS('运行记录'!$A$7:$A$150,B112)&lt;&gt;1,COUNTIFS($A$7:$A$150,A112)&lt;&gt;1),"ID无效或重复",IF(OR(D112="",E112="",F112=""),"待补齐场景",IF(AND(J112="未体验",K112="未体验"),"未体验",IF(OR(J112="未体验",K112="未体验"),"需核对未体验",IF(COUNTA(G112:M112)&lt;&gt;7,"待补齐关键内容","已反馈"))))))</x:f>
        <x:v>待反馈</x:v>
      </x:c>
      <x:c r="Q112" s="89" t="n">
        <x:f>IF(AND(P112="已反馈",O112&lt;&gt;""),1,0)</x:f>
        <x:v>0</x:v>
      </x:c>
      <x:c r="R112" s="91"/>
      <x:c r="S112" s="91"/>
      <x:c r="T112" s="89" t="n">
        <x:f>IF(AND(P112="已反馈",Q112=1,R112="已核对",S112&lt;&gt;""),1,0)</x:f>
        <x:v>0</x:v>
      </x:c>
    </x:row>
    <x:row r="113" ht="76" customHeight="1">
      <x:c r="A113" s="88" t="str">
        <x:v>FB107</x:v>
      </x:c>
      <x:c r="B113" s="86"/>
      <x:c r="C113" s="88" t="str">
        <x:f>IF(COUNTIFS('运行记录'!$A$7:$A$150,B113)=1,INDEX('运行记录'!$E$7:$E$150,MATCH(B113,'运行记录'!$A$7:$A$150,0)),"")</x:f>
      </x:c>
      <x:c r="D113" s="89" t="str">
        <x:f>IF(C113="","",IF(INDEX('特性清单'!$B$7:$B$18,MATCH(INDEX('运行记录'!$C$7:$C$150,MATCH(B113,'运行记录'!$A$7:$A$150,0)),'特性清单'!$A$7:$A$18,0))="","",INDEX('特性清单'!$B$7:$B$18,MATCH(INDEX('运行记录'!$C$7:$C$150,MATCH(B113,'运行记录'!$A$7:$A$150,0)),'特性清单'!$A$7:$A$18,0))))</x:f>
      </x:c>
      <x:c r="E113" s="91"/>
      <x:c r="F113" s="91"/>
      <x:c r="G113" s="91"/>
      <x:c r="H113" s="91"/>
      <x:c r="I113" s="91"/>
      <x:c r="J113" s="91"/>
      <x:c r="K113" s="91"/>
      <x:c r="L113" s="91"/>
      <x:c r="M113" s="91"/>
      <x:c r="N113" s="91"/>
      <x:c r="O113" s="91"/>
      <x:c r="P113" s="89" t="str">
        <x:f>IF(COUNTA(B113)+COUNTA(E113:O113)+COUNTA(R113:S113)=0,"待反馈",IF(OR(COUNTIFS('运行记录'!$A$7:$A$150,B113)&lt;&gt;1,COUNTIFS($A$7:$A$150,A113)&lt;&gt;1),"ID无效或重复",IF(OR(D113="",E113="",F113=""),"待补齐场景",IF(AND(J113="未体验",K113="未体验"),"未体验",IF(OR(J113="未体验",K113="未体验"),"需核对未体验",IF(COUNTA(G113:M113)&lt;&gt;7,"待补齐关键内容","已反馈"))))))</x:f>
        <x:v>待反馈</x:v>
      </x:c>
      <x:c r="Q113" s="89" t="n">
        <x:f>IF(AND(P113="已反馈",O113&lt;&gt;""),1,0)</x:f>
        <x:v>0</x:v>
      </x:c>
      <x:c r="R113" s="91"/>
      <x:c r="S113" s="91"/>
      <x:c r="T113" s="89" t="n">
        <x:f>IF(AND(P113="已反馈",Q113=1,R113="已核对",S113&lt;&gt;""),1,0)</x:f>
        <x:v>0</x:v>
      </x:c>
    </x:row>
    <x:row r="114" ht="76" customHeight="1">
      <x:c r="A114" s="88" t="str">
        <x:v>FB108</x:v>
      </x:c>
      <x:c r="B114" s="86"/>
      <x:c r="C114" s="88" t="str">
        <x:f>IF(COUNTIFS('运行记录'!$A$7:$A$150,B114)=1,INDEX('运行记录'!$E$7:$E$150,MATCH(B114,'运行记录'!$A$7:$A$150,0)),"")</x:f>
      </x:c>
      <x:c r="D114" s="89" t="str">
        <x:f>IF(C114="","",IF(INDEX('特性清单'!$B$7:$B$18,MATCH(INDEX('运行记录'!$C$7:$C$150,MATCH(B114,'运行记录'!$A$7:$A$150,0)),'特性清单'!$A$7:$A$18,0))="","",INDEX('特性清单'!$B$7:$B$18,MATCH(INDEX('运行记录'!$C$7:$C$150,MATCH(B114,'运行记录'!$A$7:$A$150,0)),'特性清单'!$A$7:$A$18,0))))</x:f>
      </x:c>
      <x:c r="E114" s="91"/>
      <x:c r="F114" s="91"/>
      <x:c r="G114" s="91"/>
      <x:c r="H114" s="91"/>
      <x:c r="I114" s="91"/>
      <x:c r="J114" s="91"/>
      <x:c r="K114" s="91"/>
      <x:c r="L114" s="91"/>
      <x:c r="M114" s="91"/>
      <x:c r="N114" s="91"/>
      <x:c r="O114" s="91"/>
      <x:c r="P114" s="89" t="str">
        <x:f>IF(COUNTA(B114)+COUNTA(E114:O114)+COUNTA(R114:S114)=0,"待反馈",IF(OR(COUNTIFS('运行记录'!$A$7:$A$150,B114)&lt;&gt;1,COUNTIFS($A$7:$A$150,A114)&lt;&gt;1),"ID无效或重复",IF(OR(D114="",E114="",F114=""),"待补齐场景",IF(AND(J114="未体验",K114="未体验"),"未体验",IF(OR(J114="未体验",K114="未体验"),"需核对未体验",IF(COUNTA(G114:M114)&lt;&gt;7,"待补齐关键内容","已反馈"))))))</x:f>
        <x:v>待反馈</x:v>
      </x:c>
      <x:c r="Q114" s="89" t="n">
        <x:f>IF(AND(P114="已反馈",O114&lt;&gt;""),1,0)</x:f>
        <x:v>0</x:v>
      </x:c>
      <x:c r="R114" s="91"/>
      <x:c r="S114" s="91"/>
      <x:c r="T114" s="89" t="n">
        <x:f>IF(AND(P114="已反馈",Q114=1,R114="已核对",S114&lt;&gt;""),1,0)</x:f>
        <x:v>0</x:v>
      </x:c>
    </x:row>
    <x:row r="115" ht="76" customHeight="1">
      <x:c r="A115" s="88" t="str">
        <x:v>FB109</x:v>
      </x:c>
      <x:c r="B115" s="86"/>
      <x:c r="C115" s="88" t="str">
        <x:f>IF(COUNTIFS('运行记录'!$A$7:$A$150,B115)=1,INDEX('运行记录'!$E$7:$E$150,MATCH(B115,'运行记录'!$A$7:$A$150,0)),"")</x:f>
      </x:c>
      <x:c r="D115" s="89" t="str">
        <x:f>IF(C115="","",IF(INDEX('特性清单'!$B$7:$B$18,MATCH(INDEX('运行记录'!$C$7:$C$150,MATCH(B115,'运行记录'!$A$7:$A$150,0)),'特性清单'!$A$7:$A$18,0))="","",INDEX('特性清单'!$B$7:$B$18,MATCH(INDEX('运行记录'!$C$7:$C$150,MATCH(B115,'运行记录'!$A$7:$A$150,0)),'特性清单'!$A$7:$A$18,0))))</x:f>
      </x:c>
      <x:c r="E115" s="91"/>
      <x:c r="F115" s="91"/>
      <x:c r="G115" s="91"/>
      <x:c r="H115" s="91"/>
      <x:c r="I115" s="91"/>
      <x:c r="J115" s="91"/>
      <x:c r="K115" s="91"/>
      <x:c r="L115" s="91"/>
      <x:c r="M115" s="91"/>
      <x:c r="N115" s="91"/>
      <x:c r="O115" s="91"/>
      <x:c r="P115" s="89" t="str">
        <x:f>IF(COUNTA(B115)+COUNTA(E115:O115)+COUNTA(R115:S115)=0,"待反馈",IF(OR(COUNTIFS('运行记录'!$A$7:$A$150,B115)&lt;&gt;1,COUNTIFS($A$7:$A$150,A115)&lt;&gt;1),"ID无效或重复",IF(OR(D115="",E115="",F115=""),"待补齐场景",IF(AND(J115="未体验",K115="未体验"),"未体验",IF(OR(J115="未体验",K115="未体验"),"需核对未体验",IF(COUNTA(G115:M115)&lt;&gt;7,"待补齐关键内容","已反馈"))))))</x:f>
        <x:v>待反馈</x:v>
      </x:c>
      <x:c r="Q115" s="89" t="n">
        <x:f>IF(AND(P115="已反馈",O115&lt;&gt;""),1,0)</x:f>
        <x:v>0</x:v>
      </x:c>
      <x:c r="R115" s="91"/>
      <x:c r="S115" s="91"/>
      <x:c r="T115" s="89" t="n">
        <x:f>IF(AND(P115="已反馈",Q115=1,R115="已核对",S115&lt;&gt;""),1,0)</x:f>
        <x:v>0</x:v>
      </x:c>
    </x:row>
    <x:row r="116" ht="76" customHeight="1">
      <x:c r="A116" s="88" t="str">
        <x:v>FB110</x:v>
      </x:c>
      <x:c r="B116" s="86"/>
      <x:c r="C116" s="88" t="str">
        <x:f>IF(COUNTIFS('运行记录'!$A$7:$A$150,B116)=1,INDEX('运行记录'!$E$7:$E$150,MATCH(B116,'运行记录'!$A$7:$A$150,0)),"")</x:f>
      </x:c>
      <x:c r="D116" s="89" t="str">
        <x:f>IF(C116="","",IF(INDEX('特性清单'!$B$7:$B$18,MATCH(INDEX('运行记录'!$C$7:$C$150,MATCH(B116,'运行记录'!$A$7:$A$150,0)),'特性清单'!$A$7:$A$18,0))="","",INDEX('特性清单'!$B$7:$B$18,MATCH(INDEX('运行记录'!$C$7:$C$150,MATCH(B116,'运行记录'!$A$7:$A$150,0)),'特性清单'!$A$7:$A$18,0))))</x:f>
      </x:c>
      <x:c r="E116" s="91"/>
      <x:c r="F116" s="91"/>
      <x:c r="G116" s="91"/>
      <x:c r="H116" s="91"/>
      <x:c r="I116" s="91"/>
      <x:c r="J116" s="91"/>
      <x:c r="K116" s="91"/>
      <x:c r="L116" s="91"/>
      <x:c r="M116" s="91"/>
      <x:c r="N116" s="91"/>
      <x:c r="O116" s="91"/>
      <x:c r="P116" s="89" t="str">
        <x:f>IF(COUNTA(B116)+COUNTA(E116:O116)+COUNTA(R116:S116)=0,"待反馈",IF(OR(COUNTIFS('运行记录'!$A$7:$A$150,B116)&lt;&gt;1,COUNTIFS($A$7:$A$150,A116)&lt;&gt;1),"ID无效或重复",IF(OR(D116="",E116="",F116=""),"待补齐场景",IF(AND(J116="未体验",K116="未体验"),"未体验",IF(OR(J116="未体验",K116="未体验"),"需核对未体验",IF(COUNTA(G116:M116)&lt;&gt;7,"待补齐关键内容","已反馈"))))))</x:f>
        <x:v>待反馈</x:v>
      </x:c>
      <x:c r="Q116" s="89" t="n">
        <x:f>IF(AND(P116="已反馈",O116&lt;&gt;""),1,0)</x:f>
        <x:v>0</x:v>
      </x:c>
      <x:c r="R116" s="91"/>
      <x:c r="S116" s="91"/>
      <x:c r="T116" s="89" t="n">
        <x:f>IF(AND(P116="已反馈",Q116=1,R116="已核对",S116&lt;&gt;""),1,0)</x:f>
        <x:v>0</x:v>
      </x:c>
    </x:row>
    <x:row r="117" ht="76" customHeight="1">
      <x:c r="A117" s="88" t="str">
        <x:v>FB111</x:v>
      </x:c>
      <x:c r="B117" s="86"/>
      <x:c r="C117" s="88" t="str">
        <x:f>IF(COUNTIFS('运行记录'!$A$7:$A$150,B117)=1,INDEX('运行记录'!$E$7:$E$150,MATCH(B117,'运行记录'!$A$7:$A$150,0)),"")</x:f>
      </x:c>
      <x:c r="D117" s="89" t="str">
        <x:f>IF(C117="","",IF(INDEX('特性清单'!$B$7:$B$18,MATCH(INDEX('运行记录'!$C$7:$C$150,MATCH(B117,'运行记录'!$A$7:$A$150,0)),'特性清单'!$A$7:$A$18,0))="","",INDEX('特性清单'!$B$7:$B$18,MATCH(INDEX('运行记录'!$C$7:$C$150,MATCH(B117,'运行记录'!$A$7:$A$150,0)),'特性清单'!$A$7:$A$18,0))))</x:f>
      </x:c>
      <x:c r="E117" s="91"/>
      <x:c r="F117" s="91"/>
      <x:c r="G117" s="91"/>
      <x:c r="H117" s="91"/>
      <x:c r="I117" s="91"/>
      <x:c r="J117" s="91"/>
      <x:c r="K117" s="91"/>
      <x:c r="L117" s="91"/>
      <x:c r="M117" s="91"/>
      <x:c r="N117" s="91"/>
      <x:c r="O117" s="91"/>
      <x:c r="P117" s="89" t="str">
        <x:f>IF(COUNTA(B117)+COUNTA(E117:O117)+COUNTA(R117:S117)=0,"待反馈",IF(OR(COUNTIFS('运行记录'!$A$7:$A$150,B117)&lt;&gt;1,COUNTIFS($A$7:$A$150,A117)&lt;&gt;1),"ID无效或重复",IF(OR(D117="",E117="",F117=""),"待补齐场景",IF(AND(J117="未体验",K117="未体验"),"未体验",IF(OR(J117="未体验",K117="未体验"),"需核对未体验",IF(COUNTA(G117:M117)&lt;&gt;7,"待补齐关键内容","已反馈"))))))</x:f>
        <x:v>待反馈</x:v>
      </x:c>
      <x:c r="Q117" s="89" t="n">
        <x:f>IF(AND(P117="已反馈",O117&lt;&gt;""),1,0)</x:f>
        <x:v>0</x:v>
      </x:c>
      <x:c r="R117" s="91"/>
      <x:c r="S117" s="91"/>
      <x:c r="T117" s="89" t="n">
        <x:f>IF(AND(P117="已反馈",Q117=1,R117="已核对",S117&lt;&gt;""),1,0)</x:f>
        <x:v>0</x:v>
      </x:c>
    </x:row>
    <x:row r="118" ht="76" customHeight="1">
      <x:c r="A118" s="88" t="str">
        <x:v>FB112</x:v>
      </x:c>
      <x:c r="B118" s="86"/>
      <x:c r="C118" s="88" t="str">
        <x:f>IF(COUNTIFS('运行记录'!$A$7:$A$150,B118)=1,INDEX('运行记录'!$E$7:$E$150,MATCH(B118,'运行记录'!$A$7:$A$150,0)),"")</x:f>
      </x:c>
      <x:c r="D118" s="89" t="str">
        <x:f>IF(C118="","",IF(INDEX('特性清单'!$B$7:$B$18,MATCH(INDEX('运行记录'!$C$7:$C$150,MATCH(B118,'运行记录'!$A$7:$A$150,0)),'特性清单'!$A$7:$A$18,0))="","",INDEX('特性清单'!$B$7:$B$18,MATCH(INDEX('运行记录'!$C$7:$C$150,MATCH(B118,'运行记录'!$A$7:$A$150,0)),'特性清单'!$A$7:$A$18,0))))</x:f>
      </x:c>
      <x:c r="E118" s="91"/>
      <x:c r="F118" s="91"/>
      <x:c r="G118" s="91"/>
      <x:c r="H118" s="91"/>
      <x:c r="I118" s="91"/>
      <x:c r="J118" s="91"/>
      <x:c r="K118" s="91"/>
      <x:c r="L118" s="91"/>
      <x:c r="M118" s="91"/>
      <x:c r="N118" s="91"/>
      <x:c r="O118" s="91"/>
      <x:c r="P118" s="89" t="str">
        <x:f>IF(COUNTA(B118)+COUNTA(E118:O118)+COUNTA(R118:S118)=0,"待反馈",IF(OR(COUNTIFS('运行记录'!$A$7:$A$150,B118)&lt;&gt;1,COUNTIFS($A$7:$A$150,A118)&lt;&gt;1),"ID无效或重复",IF(OR(D118="",E118="",F118=""),"待补齐场景",IF(AND(J118="未体验",K118="未体验"),"未体验",IF(OR(J118="未体验",K118="未体验"),"需核对未体验",IF(COUNTA(G118:M118)&lt;&gt;7,"待补齐关键内容","已反馈"))))))</x:f>
        <x:v>待反馈</x:v>
      </x:c>
      <x:c r="Q118" s="89" t="n">
        <x:f>IF(AND(P118="已反馈",O118&lt;&gt;""),1,0)</x:f>
        <x:v>0</x:v>
      </x:c>
      <x:c r="R118" s="91"/>
      <x:c r="S118" s="91"/>
      <x:c r="T118" s="89" t="n">
        <x:f>IF(AND(P118="已反馈",Q118=1,R118="已核对",S118&lt;&gt;""),1,0)</x:f>
        <x:v>0</x:v>
      </x:c>
    </x:row>
    <x:row r="119" ht="76" customHeight="1">
      <x:c r="A119" s="88" t="str">
        <x:v>FB113</x:v>
      </x:c>
      <x:c r="B119" s="86"/>
      <x:c r="C119" s="88" t="str">
        <x:f>IF(COUNTIFS('运行记录'!$A$7:$A$150,B119)=1,INDEX('运行记录'!$E$7:$E$150,MATCH(B119,'运行记录'!$A$7:$A$150,0)),"")</x:f>
      </x:c>
      <x:c r="D119" s="89" t="str">
        <x:f>IF(C119="","",IF(INDEX('特性清单'!$B$7:$B$18,MATCH(INDEX('运行记录'!$C$7:$C$150,MATCH(B119,'运行记录'!$A$7:$A$150,0)),'特性清单'!$A$7:$A$18,0))="","",INDEX('特性清单'!$B$7:$B$18,MATCH(INDEX('运行记录'!$C$7:$C$150,MATCH(B119,'运行记录'!$A$7:$A$150,0)),'特性清单'!$A$7:$A$18,0))))</x:f>
      </x:c>
      <x:c r="E119" s="91"/>
      <x:c r="F119" s="91"/>
      <x:c r="G119" s="91"/>
      <x:c r="H119" s="91"/>
      <x:c r="I119" s="91"/>
      <x:c r="J119" s="91"/>
      <x:c r="K119" s="91"/>
      <x:c r="L119" s="91"/>
      <x:c r="M119" s="91"/>
      <x:c r="N119" s="91"/>
      <x:c r="O119" s="91"/>
      <x:c r="P119" s="89" t="str">
        <x:f>IF(COUNTA(B119)+COUNTA(E119:O119)+COUNTA(R119:S119)=0,"待反馈",IF(OR(COUNTIFS('运行记录'!$A$7:$A$150,B119)&lt;&gt;1,COUNTIFS($A$7:$A$150,A119)&lt;&gt;1),"ID无效或重复",IF(OR(D119="",E119="",F119=""),"待补齐场景",IF(AND(J119="未体验",K119="未体验"),"未体验",IF(OR(J119="未体验",K119="未体验"),"需核对未体验",IF(COUNTA(G119:M119)&lt;&gt;7,"待补齐关键内容","已反馈"))))))</x:f>
        <x:v>待反馈</x:v>
      </x:c>
      <x:c r="Q119" s="89" t="n">
        <x:f>IF(AND(P119="已反馈",O119&lt;&gt;""),1,0)</x:f>
        <x:v>0</x:v>
      </x:c>
      <x:c r="R119" s="91"/>
      <x:c r="S119" s="91"/>
      <x:c r="T119" s="89" t="n">
        <x:f>IF(AND(P119="已反馈",Q119=1,R119="已核对",S119&lt;&gt;""),1,0)</x:f>
        <x:v>0</x:v>
      </x:c>
    </x:row>
    <x:row r="120" ht="76" customHeight="1">
      <x:c r="A120" s="88" t="str">
        <x:v>FB114</x:v>
      </x:c>
      <x:c r="B120" s="86"/>
      <x:c r="C120" s="88" t="str">
        <x:f>IF(COUNTIFS('运行记录'!$A$7:$A$150,B120)=1,INDEX('运行记录'!$E$7:$E$150,MATCH(B120,'运行记录'!$A$7:$A$150,0)),"")</x:f>
      </x:c>
      <x:c r="D120" s="89" t="str">
        <x:f>IF(C120="","",IF(INDEX('特性清单'!$B$7:$B$18,MATCH(INDEX('运行记录'!$C$7:$C$150,MATCH(B120,'运行记录'!$A$7:$A$150,0)),'特性清单'!$A$7:$A$18,0))="","",INDEX('特性清单'!$B$7:$B$18,MATCH(INDEX('运行记录'!$C$7:$C$150,MATCH(B120,'运行记录'!$A$7:$A$150,0)),'特性清单'!$A$7:$A$18,0))))</x:f>
      </x:c>
      <x:c r="E120" s="91"/>
      <x:c r="F120" s="91"/>
      <x:c r="G120" s="91"/>
      <x:c r="H120" s="91"/>
      <x:c r="I120" s="91"/>
      <x:c r="J120" s="91"/>
      <x:c r="K120" s="91"/>
      <x:c r="L120" s="91"/>
      <x:c r="M120" s="91"/>
      <x:c r="N120" s="91"/>
      <x:c r="O120" s="91"/>
      <x:c r="P120" s="89" t="str">
        <x:f>IF(COUNTA(B120)+COUNTA(E120:O120)+COUNTA(R120:S120)=0,"待反馈",IF(OR(COUNTIFS('运行记录'!$A$7:$A$150,B120)&lt;&gt;1,COUNTIFS($A$7:$A$150,A120)&lt;&gt;1),"ID无效或重复",IF(OR(D120="",E120="",F120=""),"待补齐场景",IF(AND(J120="未体验",K120="未体验"),"未体验",IF(OR(J120="未体验",K120="未体验"),"需核对未体验",IF(COUNTA(G120:M120)&lt;&gt;7,"待补齐关键内容","已反馈"))))))</x:f>
        <x:v>待反馈</x:v>
      </x:c>
      <x:c r="Q120" s="89" t="n">
        <x:f>IF(AND(P120="已反馈",O120&lt;&gt;""),1,0)</x:f>
        <x:v>0</x:v>
      </x:c>
      <x:c r="R120" s="91"/>
      <x:c r="S120" s="91"/>
      <x:c r="T120" s="89" t="n">
        <x:f>IF(AND(P120="已反馈",Q120=1,R120="已核对",S120&lt;&gt;""),1,0)</x:f>
        <x:v>0</x:v>
      </x:c>
    </x:row>
    <x:row r="121" ht="76" customHeight="1">
      <x:c r="A121" s="88" t="str">
        <x:v>FB115</x:v>
      </x:c>
      <x:c r="B121" s="86"/>
      <x:c r="C121" s="88" t="str">
        <x:f>IF(COUNTIFS('运行记录'!$A$7:$A$150,B121)=1,INDEX('运行记录'!$E$7:$E$150,MATCH(B121,'运行记录'!$A$7:$A$150,0)),"")</x:f>
      </x:c>
      <x:c r="D121" s="89" t="str">
        <x:f>IF(C121="","",IF(INDEX('特性清单'!$B$7:$B$18,MATCH(INDEX('运行记录'!$C$7:$C$150,MATCH(B121,'运行记录'!$A$7:$A$150,0)),'特性清单'!$A$7:$A$18,0))="","",INDEX('特性清单'!$B$7:$B$18,MATCH(INDEX('运行记录'!$C$7:$C$150,MATCH(B121,'运行记录'!$A$7:$A$150,0)),'特性清单'!$A$7:$A$18,0))))</x:f>
      </x:c>
      <x:c r="E121" s="91"/>
      <x:c r="F121" s="91"/>
      <x:c r="G121" s="91"/>
      <x:c r="H121" s="91"/>
      <x:c r="I121" s="91"/>
      <x:c r="J121" s="91"/>
      <x:c r="K121" s="91"/>
      <x:c r="L121" s="91"/>
      <x:c r="M121" s="91"/>
      <x:c r="N121" s="91"/>
      <x:c r="O121" s="91"/>
      <x:c r="P121" s="89" t="str">
        <x:f>IF(COUNTA(B121)+COUNTA(E121:O121)+COUNTA(R121:S121)=0,"待反馈",IF(OR(COUNTIFS('运行记录'!$A$7:$A$150,B121)&lt;&gt;1,COUNTIFS($A$7:$A$150,A121)&lt;&gt;1),"ID无效或重复",IF(OR(D121="",E121="",F121=""),"待补齐场景",IF(AND(J121="未体验",K121="未体验"),"未体验",IF(OR(J121="未体验",K121="未体验"),"需核对未体验",IF(COUNTA(G121:M121)&lt;&gt;7,"待补齐关键内容","已反馈"))))))</x:f>
        <x:v>待反馈</x:v>
      </x:c>
      <x:c r="Q121" s="89" t="n">
        <x:f>IF(AND(P121="已反馈",O121&lt;&gt;""),1,0)</x:f>
        <x:v>0</x:v>
      </x:c>
      <x:c r="R121" s="91"/>
      <x:c r="S121" s="91"/>
      <x:c r="T121" s="89" t="n">
        <x:f>IF(AND(P121="已反馈",Q121=1,R121="已核对",S121&lt;&gt;""),1,0)</x:f>
        <x:v>0</x:v>
      </x:c>
    </x:row>
    <x:row r="122" ht="76" customHeight="1">
      <x:c r="A122" s="88" t="str">
        <x:v>FB116</x:v>
      </x:c>
      <x:c r="B122" s="86"/>
      <x:c r="C122" s="88" t="str">
        <x:f>IF(COUNTIFS('运行记录'!$A$7:$A$150,B122)=1,INDEX('运行记录'!$E$7:$E$150,MATCH(B122,'运行记录'!$A$7:$A$150,0)),"")</x:f>
      </x:c>
      <x:c r="D122" s="89" t="str">
        <x:f>IF(C122="","",IF(INDEX('特性清单'!$B$7:$B$18,MATCH(INDEX('运行记录'!$C$7:$C$150,MATCH(B122,'运行记录'!$A$7:$A$150,0)),'特性清单'!$A$7:$A$18,0))="","",INDEX('特性清单'!$B$7:$B$18,MATCH(INDEX('运行记录'!$C$7:$C$150,MATCH(B122,'运行记录'!$A$7:$A$150,0)),'特性清单'!$A$7:$A$18,0))))</x:f>
      </x:c>
      <x:c r="E122" s="91"/>
      <x:c r="F122" s="91"/>
      <x:c r="G122" s="91"/>
      <x:c r="H122" s="91"/>
      <x:c r="I122" s="91"/>
      <x:c r="J122" s="91"/>
      <x:c r="K122" s="91"/>
      <x:c r="L122" s="91"/>
      <x:c r="M122" s="91"/>
      <x:c r="N122" s="91"/>
      <x:c r="O122" s="91"/>
      <x:c r="P122" s="89" t="str">
        <x:f>IF(COUNTA(B122)+COUNTA(E122:O122)+COUNTA(R122:S122)=0,"待反馈",IF(OR(COUNTIFS('运行记录'!$A$7:$A$150,B122)&lt;&gt;1,COUNTIFS($A$7:$A$150,A122)&lt;&gt;1),"ID无效或重复",IF(OR(D122="",E122="",F122=""),"待补齐场景",IF(AND(J122="未体验",K122="未体验"),"未体验",IF(OR(J122="未体验",K122="未体验"),"需核对未体验",IF(COUNTA(G122:M122)&lt;&gt;7,"待补齐关键内容","已反馈"))))))</x:f>
        <x:v>待反馈</x:v>
      </x:c>
      <x:c r="Q122" s="89" t="n">
        <x:f>IF(AND(P122="已反馈",O122&lt;&gt;""),1,0)</x:f>
        <x:v>0</x:v>
      </x:c>
      <x:c r="R122" s="91"/>
      <x:c r="S122" s="91"/>
      <x:c r="T122" s="89" t="n">
        <x:f>IF(AND(P122="已反馈",Q122=1,R122="已核对",S122&lt;&gt;""),1,0)</x:f>
        <x:v>0</x:v>
      </x:c>
    </x:row>
    <x:row r="123" ht="76" customHeight="1">
      <x:c r="A123" s="88" t="str">
        <x:v>FB117</x:v>
      </x:c>
      <x:c r="B123" s="86"/>
      <x:c r="C123" s="88" t="str">
        <x:f>IF(COUNTIFS('运行记录'!$A$7:$A$150,B123)=1,INDEX('运行记录'!$E$7:$E$150,MATCH(B123,'运行记录'!$A$7:$A$150,0)),"")</x:f>
      </x:c>
      <x:c r="D123" s="89" t="str">
        <x:f>IF(C123="","",IF(INDEX('特性清单'!$B$7:$B$18,MATCH(INDEX('运行记录'!$C$7:$C$150,MATCH(B123,'运行记录'!$A$7:$A$150,0)),'特性清单'!$A$7:$A$18,0))="","",INDEX('特性清单'!$B$7:$B$18,MATCH(INDEX('运行记录'!$C$7:$C$150,MATCH(B123,'运行记录'!$A$7:$A$150,0)),'特性清单'!$A$7:$A$18,0))))</x:f>
      </x:c>
      <x:c r="E123" s="91"/>
      <x:c r="F123" s="91"/>
      <x:c r="G123" s="91"/>
      <x:c r="H123" s="91"/>
      <x:c r="I123" s="91"/>
      <x:c r="J123" s="91"/>
      <x:c r="K123" s="91"/>
      <x:c r="L123" s="91"/>
      <x:c r="M123" s="91"/>
      <x:c r="N123" s="91"/>
      <x:c r="O123" s="91"/>
      <x:c r="P123" s="89" t="str">
        <x:f>IF(COUNTA(B123)+COUNTA(E123:O123)+COUNTA(R123:S123)=0,"待反馈",IF(OR(COUNTIFS('运行记录'!$A$7:$A$150,B123)&lt;&gt;1,COUNTIFS($A$7:$A$150,A123)&lt;&gt;1),"ID无效或重复",IF(OR(D123="",E123="",F123=""),"待补齐场景",IF(AND(J123="未体验",K123="未体验"),"未体验",IF(OR(J123="未体验",K123="未体验"),"需核对未体验",IF(COUNTA(G123:M123)&lt;&gt;7,"待补齐关键内容","已反馈"))))))</x:f>
        <x:v>待反馈</x:v>
      </x:c>
      <x:c r="Q123" s="89" t="n">
        <x:f>IF(AND(P123="已反馈",O123&lt;&gt;""),1,0)</x:f>
        <x:v>0</x:v>
      </x:c>
      <x:c r="R123" s="91"/>
      <x:c r="S123" s="91"/>
      <x:c r="T123" s="89" t="n">
        <x:f>IF(AND(P123="已反馈",Q123=1,R123="已核对",S123&lt;&gt;""),1,0)</x:f>
        <x:v>0</x:v>
      </x:c>
    </x:row>
    <x:row r="124" ht="76" customHeight="1">
      <x:c r="A124" s="88" t="str">
        <x:v>FB118</x:v>
      </x:c>
      <x:c r="B124" s="86"/>
      <x:c r="C124" s="88" t="str">
        <x:f>IF(COUNTIFS('运行记录'!$A$7:$A$150,B124)=1,INDEX('运行记录'!$E$7:$E$150,MATCH(B124,'运行记录'!$A$7:$A$150,0)),"")</x:f>
      </x:c>
      <x:c r="D124" s="89" t="str">
        <x:f>IF(C124="","",IF(INDEX('特性清单'!$B$7:$B$18,MATCH(INDEX('运行记录'!$C$7:$C$150,MATCH(B124,'运行记录'!$A$7:$A$150,0)),'特性清单'!$A$7:$A$18,0))="","",INDEX('特性清单'!$B$7:$B$18,MATCH(INDEX('运行记录'!$C$7:$C$150,MATCH(B124,'运行记录'!$A$7:$A$150,0)),'特性清单'!$A$7:$A$18,0))))</x:f>
      </x:c>
      <x:c r="E124" s="91"/>
      <x:c r="F124" s="91"/>
      <x:c r="G124" s="91"/>
      <x:c r="H124" s="91"/>
      <x:c r="I124" s="91"/>
      <x:c r="J124" s="91"/>
      <x:c r="K124" s="91"/>
      <x:c r="L124" s="91"/>
      <x:c r="M124" s="91"/>
      <x:c r="N124" s="91"/>
      <x:c r="O124" s="91"/>
      <x:c r="P124" s="89" t="str">
        <x:f>IF(COUNTA(B124)+COUNTA(E124:O124)+COUNTA(R124:S124)=0,"待反馈",IF(OR(COUNTIFS('运行记录'!$A$7:$A$150,B124)&lt;&gt;1,COUNTIFS($A$7:$A$150,A124)&lt;&gt;1),"ID无效或重复",IF(OR(D124="",E124="",F124=""),"待补齐场景",IF(AND(J124="未体验",K124="未体验"),"未体验",IF(OR(J124="未体验",K124="未体验"),"需核对未体验",IF(COUNTA(G124:M124)&lt;&gt;7,"待补齐关键内容","已反馈"))))))</x:f>
        <x:v>待反馈</x:v>
      </x:c>
      <x:c r="Q124" s="89" t="n">
        <x:f>IF(AND(P124="已反馈",O124&lt;&gt;""),1,0)</x:f>
        <x:v>0</x:v>
      </x:c>
      <x:c r="R124" s="91"/>
      <x:c r="S124" s="91"/>
      <x:c r="T124" s="89" t="n">
        <x:f>IF(AND(P124="已反馈",Q124=1,R124="已核对",S124&lt;&gt;""),1,0)</x:f>
        <x:v>0</x:v>
      </x:c>
    </x:row>
    <x:row r="125" ht="76" customHeight="1">
      <x:c r="A125" s="88" t="str">
        <x:v>FB119</x:v>
      </x:c>
      <x:c r="B125" s="86"/>
      <x:c r="C125" s="88" t="str">
        <x:f>IF(COUNTIFS('运行记录'!$A$7:$A$150,B125)=1,INDEX('运行记录'!$E$7:$E$150,MATCH(B125,'运行记录'!$A$7:$A$150,0)),"")</x:f>
      </x:c>
      <x:c r="D125" s="89" t="str">
        <x:f>IF(C125="","",IF(INDEX('特性清单'!$B$7:$B$18,MATCH(INDEX('运行记录'!$C$7:$C$150,MATCH(B125,'运行记录'!$A$7:$A$150,0)),'特性清单'!$A$7:$A$18,0))="","",INDEX('特性清单'!$B$7:$B$18,MATCH(INDEX('运行记录'!$C$7:$C$150,MATCH(B125,'运行记录'!$A$7:$A$150,0)),'特性清单'!$A$7:$A$18,0))))</x:f>
      </x:c>
      <x:c r="E125" s="91"/>
      <x:c r="F125" s="91"/>
      <x:c r="G125" s="91"/>
      <x:c r="H125" s="91"/>
      <x:c r="I125" s="91"/>
      <x:c r="J125" s="91"/>
      <x:c r="K125" s="91"/>
      <x:c r="L125" s="91"/>
      <x:c r="M125" s="91"/>
      <x:c r="N125" s="91"/>
      <x:c r="O125" s="91"/>
      <x:c r="P125" s="89" t="str">
        <x:f>IF(COUNTA(B125)+COUNTA(E125:O125)+COUNTA(R125:S125)=0,"待反馈",IF(OR(COUNTIFS('运行记录'!$A$7:$A$150,B125)&lt;&gt;1,COUNTIFS($A$7:$A$150,A125)&lt;&gt;1),"ID无效或重复",IF(OR(D125="",E125="",F125=""),"待补齐场景",IF(AND(J125="未体验",K125="未体验"),"未体验",IF(OR(J125="未体验",K125="未体验"),"需核对未体验",IF(COUNTA(G125:M125)&lt;&gt;7,"待补齐关键内容","已反馈"))))))</x:f>
        <x:v>待反馈</x:v>
      </x:c>
      <x:c r="Q125" s="89" t="n">
        <x:f>IF(AND(P125="已反馈",O125&lt;&gt;""),1,0)</x:f>
        <x:v>0</x:v>
      </x:c>
      <x:c r="R125" s="91"/>
      <x:c r="S125" s="91"/>
      <x:c r="T125" s="89" t="n">
        <x:f>IF(AND(P125="已反馈",Q125=1,R125="已核对",S125&lt;&gt;""),1,0)</x:f>
        <x:v>0</x:v>
      </x:c>
    </x:row>
    <x:row r="126" ht="76" customHeight="1">
      <x:c r="A126" s="88" t="str">
        <x:v>FB120</x:v>
      </x:c>
      <x:c r="B126" s="86"/>
      <x:c r="C126" s="88" t="str">
        <x:f>IF(COUNTIFS('运行记录'!$A$7:$A$150,B126)=1,INDEX('运行记录'!$E$7:$E$150,MATCH(B126,'运行记录'!$A$7:$A$150,0)),"")</x:f>
      </x:c>
      <x:c r="D126" s="89" t="str">
        <x:f>IF(C126="","",IF(INDEX('特性清单'!$B$7:$B$18,MATCH(INDEX('运行记录'!$C$7:$C$150,MATCH(B126,'运行记录'!$A$7:$A$150,0)),'特性清单'!$A$7:$A$18,0))="","",INDEX('特性清单'!$B$7:$B$18,MATCH(INDEX('运行记录'!$C$7:$C$150,MATCH(B126,'运行记录'!$A$7:$A$150,0)),'特性清单'!$A$7:$A$18,0))))</x:f>
      </x:c>
      <x:c r="E126" s="91"/>
      <x:c r="F126" s="91"/>
      <x:c r="G126" s="91"/>
      <x:c r="H126" s="91"/>
      <x:c r="I126" s="91"/>
      <x:c r="J126" s="91"/>
      <x:c r="K126" s="91"/>
      <x:c r="L126" s="91"/>
      <x:c r="M126" s="91"/>
      <x:c r="N126" s="91"/>
      <x:c r="O126" s="91"/>
      <x:c r="P126" s="89" t="str">
        <x:f>IF(COUNTA(B126)+COUNTA(E126:O126)+COUNTA(R126:S126)=0,"待反馈",IF(OR(COUNTIFS('运行记录'!$A$7:$A$150,B126)&lt;&gt;1,COUNTIFS($A$7:$A$150,A126)&lt;&gt;1),"ID无效或重复",IF(OR(D126="",E126="",F126=""),"待补齐场景",IF(AND(J126="未体验",K126="未体验"),"未体验",IF(OR(J126="未体验",K126="未体验"),"需核对未体验",IF(COUNTA(G126:M126)&lt;&gt;7,"待补齐关键内容","已反馈"))))))</x:f>
        <x:v>待反馈</x:v>
      </x:c>
      <x:c r="Q126" s="89" t="n">
        <x:f>IF(AND(P126="已反馈",O126&lt;&gt;""),1,0)</x:f>
        <x:v>0</x:v>
      </x:c>
      <x:c r="R126" s="91"/>
      <x:c r="S126" s="91"/>
      <x:c r="T126" s="89" t="n">
        <x:f>IF(AND(P126="已反馈",Q126=1,R126="已核对",S126&lt;&gt;""),1,0)</x:f>
        <x:v>0</x:v>
      </x:c>
    </x:row>
    <x:row r="127" ht="76" customHeight="1">
      <x:c r="A127" s="88" t="str">
        <x:v>FB121</x:v>
      </x:c>
      <x:c r="B127" s="86"/>
      <x:c r="C127" s="88" t="str">
        <x:f>IF(COUNTIFS('运行记录'!$A$7:$A$150,B127)=1,INDEX('运行记录'!$E$7:$E$150,MATCH(B127,'运行记录'!$A$7:$A$150,0)),"")</x:f>
      </x:c>
      <x:c r="D127" s="89" t="str">
        <x:f>IF(C127="","",IF(INDEX('特性清单'!$B$7:$B$18,MATCH(INDEX('运行记录'!$C$7:$C$150,MATCH(B127,'运行记录'!$A$7:$A$150,0)),'特性清单'!$A$7:$A$18,0))="","",INDEX('特性清单'!$B$7:$B$18,MATCH(INDEX('运行记录'!$C$7:$C$150,MATCH(B127,'运行记录'!$A$7:$A$150,0)),'特性清单'!$A$7:$A$18,0))))</x:f>
      </x:c>
      <x:c r="E127" s="91"/>
      <x:c r="F127" s="91"/>
      <x:c r="G127" s="91"/>
      <x:c r="H127" s="91"/>
      <x:c r="I127" s="91"/>
      <x:c r="J127" s="91"/>
      <x:c r="K127" s="91"/>
      <x:c r="L127" s="91"/>
      <x:c r="M127" s="91"/>
      <x:c r="N127" s="91"/>
      <x:c r="O127" s="91"/>
      <x:c r="P127" s="89" t="str">
        <x:f>IF(COUNTA(B127)+COUNTA(E127:O127)+COUNTA(R127:S127)=0,"待反馈",IF(OR(COUNTIFS('运行记录'!$A$7:$A$150,B127)&lt;&gt;1,COUNTIFS($A$7:$A$150,A127)&lt;&gt;1),"ID无效或重复",IF(OR(D127="",E127="",F127=""),"待补齐场景",IF(AND(J127="未体验",K127="未体验"),"未体验",IF(OR(J127="未体验",K127="未体验"),"需核对未体验",IF(COUNTA(G127:M127)&lt;&gt;7,"待补齐关键内容","已反馈"))))))</x:f>
        <x:v>待反馈</x:v>
      </x:c>
      <x:c r="Q127" s="89" t="n">
        <x:f>IF(AND(P127="已反馈",O127&lt;&gt;""),1,0)</x:f>
        <x:v>0</x:v>
      </x:c>
      <x:c r="R127" s="91"/>
      <x:c r="S127" s="91"/>
      <x:c r="T127" s="89" t="n">
        <x:f>IF(AND(P127="已反馈",Q127=1,R127="已核对",S127&lt;&gt;""),1,0)</x:f>
        <x:v>0</x:v>
      </x:c>
    </x:row>
    <x:row r="128" ht="76" customHeight="1">
      <x:c r="A128" s="88" t="str">
        <x:v>FB122</x:v>
      </x:c>
      <x:c r="B128" s="86"/>
      <x:c r="C128" s="88" t="str">
        <x:f>IF(COUNTIFS('运行记录'!$A$7:$A$150,B128)=1,INDEX('运行记录'!$E$7:$E$150,MATCH(B128,'运行记录'!$A$7:$A$150,0)),"")</x:f>
      </x:c>
      <x:c r="D128" s="89" t="str">
        <x:f>IF(C128="","",IF(INDEX('特性清单'!$B$7:$B$18,MATCH(INDEX('运行记录'!$C$7:$C$150,MATCH(B128,'运行记录'!$A$7:$A$150,0)),'特性清单'!$A$7:$A$18,0))="","",INDEX('特性清单'!$B$7:$B$18,MATCH(INDEX('运行记录'!$C$7:$C$150,MATCH(B128,'运行记录'!$A$7:$A$150,0)),'特性清单'!$A$7:$A$18,0))))</x:f>
      </x:c>
      <x:c r="E128" s="91"/>
      <x:c r="F128" s="91"/>
      <x:c r="G128" s="91"/>
      <x:c r="H128" s="91"/>
      <x:c r="I128" s="91"/>
      <x:c r="J128" s="91"/>
      <x:c r="K128" s="91"/>
      <x:c r="L128" s="91"/>
      <x:c r="M128" s="91"/>
      <x:c r="N128" s="91"/>
      <x:c r="O128" s="91"/>
      <x:c r="P128" s="89" t="str">
        <x:f>IF(COUNTA(B128)+COUNTA(E128:O128)+COUNTA(R128:S128)=0,"待反馈",IF(OR(COUNTIFS('运行记录'!$A$7:$A$150,B128)&lt;&gt;1,COUNTIFS($A$7:$A$150,A128)&lt;&gt;1),"ID无效或重复",IF(OR(D128="",E128="",F128=""),"待补齐场景",IF(AND(J128="未体验",K128="未体验"),"未体验",IF(OR(J128="未体验",K128="未体验"),"需核对未体验",IF(COUNTA(G128:M128)&lt;&gt;7,"待补齐关键内容","已反馈"))))))</x:f>
        <x:v>待反馈</x:v>
      </x:c>
      <x:c r="Q128" s="89" t="n">
        <x:f>IF(AND(P128="已反馈",O128&lt;&gt;""),1,0)</x:f>
        <x:v>0</x:v>
      </x:c>
      <x:c r="R128" s="91"/>
      <x:c r="S128" s="91"/>
      <x:c r="T128" s="89" t="n">
        <x:f>IF(AND(P128="已反馈",Q128=1,R128="已核对",S128&lt;&gt;""),1,0)</x:f>
        <x:v>0</x:v>
      </x:c>
    </x:row>
    <x:row r="129" ht="76" customHeight="1">
      <x:c r="A129" s="88" t="str">
        <x:v>FB123</x:v>
      </x:c>
      <x:c r="B129" s="86"/>
      <x:c r="C129" s="88" t="str">
        <x:f>IF(COUNTIFS('运行记录'!$A$7:$A$150,B129)=1,INDEX('运行记录'!$E$7:$E$150,MATCH(B129,'运行记录'!$A$7:$A$150,0)),"")</x:f>
      </x:c>
      <x:c r="D129" s="89" t="str">
        <x:f>IF(C129="","",IF(INDEX('特性清单'!$B$7:$B$18,MATCH(INDEX('运行记录'!$C$7:$C$150,MATCH(B129,'运行记录'!$A$7:$A$150,0)),'特性清单'!$A$7:$A$18,0))="","",INDEX('特性清单'!$B$7:$B$18,MATCH(INDEX('运行记录'!$C$7:$C$150,MATCH(B129,'运行记录'!$A$7:$A$150,0)),'特性清单'!$A$7:$A$18,0))))</x:f>
      </x:c>
      <x:c r="E129" s="91"/>
      <x:c r="F129" s="91"/>
      <x:c r="G129" s="91"/>
      <x:c r="H129" s="91"/>
      <x:c r="I129" s="91"/>
      <x:c r="J129" s="91"/>
      <x:c r="K129" s="91"/>
      <x:c r="L129" s="91"/>
      <x:c r="M129" s="91"/>
      <x:c r="N129" s="91"/>
      <x:c r="O129" s="91"/>
      <x:c r="P129" s="89" t="str">
        <x:f>IF(COUNTA(B129)+COUNTA(E129:O129)+COUNTA(R129:S129)=0,"待反馈",IF(OR(COUNTIFS('运行记录'!$A$7:$A$150,B129)&lt;&gt;1,COUNTIFS($A$7:$A$150,A129)&lt;&gt;1),"ID无效或重复",IF(OR(D129="",E129="",F129=""),"待补齐场景",IF(AND(J129="未体验",K129="未体验"),"未体验",IF(OR(J129="未体验",K129="未体验"),"需核对未体验",IF(COUNTA(G129:M129)&lt;&gt;7,"待补齐关键内容","已反馈"))))))</x:f>
        <x:v>待反馈</x:v>
      </x:c>
      <x:c r="Q129" s="89" t="n">
        <x:f>IF(AND(P129="已反馈",O129&lt;&gt;""),1,0)</x:f>
        <x:v>0</x:v>
      </x:c>
      <x:c r="R129" s="91"/>
      <x:c r="S129" s="91"/>
      <x:c r="T129" s="89" t="n">
        <x:f>IF(AND(P129="已反馈",Q129=1,R129="已核对",S129&lt;&gt;""),1,0)</x:f>
        <x:v>0</x:v>
      </x:c>
    </x:row>
    <x:row r="130" ht="76" customHeight="1">
      <x:c r="A130" s="88" t="str">
        <x:v>FB124</x:v>
      </x:c>
      <x:c r="B130" s="86"/>
      <x:c r="C130" s="88" t="str">
        <x:f>IF(COUNTIFS('运行记录'!$A$7:$A$150,B130)=1,INDEX('运行记录'!$E$7:$E$150,MATCH(B130,'运行记录'!$A$7:$A$150,0)),"")</x:f>
      </x:c>
      <x:c r="D130" s="89" t="str">
        <x:f>IF(C130="","",IF(INDEX('特性清单'!$B$7:$B$18,MATCH(INDEX('运行记录'!$C$7:$C$150,MATCH(B130,'运行记录'!$A$7:$A$150,0)),'特性清单'!$A$7:$A$18,0))="","",INDEX('特性清单'!$B$7:$B$18,MATCH(INDEX('运行记录'!$C$7:$C$150,MATCH(B130,'运行记录'!$A$7:$A$150,0)),'特性清单'!$A$7:$A$18,0))))</x:f>
      </x:c>
      <x:c r="E130" s="91"/>
      <x:c r="F130" s="91"/>
      <x:c r="G130" s="91"/>
      <x:c r="H130" s="91"/>
      <x:c r="I130" s="91"/>
      <x:c r="J130" s="91"/>
      <x:c r="K130" s="91"/>
      <x:c r="L130" s="91"/>
      <x:c r="M130" s="91"/>
      <x:c r="N130" s="91"/>
      <x:c r="O130" s="91"/>
      <x:c r="P130" s="89" t="str">
        <x:f>IF(COUNTA(B130)+COUNTA(E130:O130)+COUNTA(R130:S130)=0,"待反馈",IF(OR(COUNTIFS('运行记录'!$A$7:$A$150,B130)&lt;&gt;1,COUNTIFS($A$7:$A$150,A130)&lt;&gt;1),"ID无效或重复",IF(OR(D130="",E130="",F130=""),"待补齐场景",IF(AND(J130="未体验",K130="未体验"),"未体验",IF(OR(J130="未体验",K130="未体验"),"需核对未体验",IF(COUNTA(G130:M130)&lt;&gt;7,"待补齐关键内容","已反馈"))))))</x:f>
        <x:v>待反馈</x:v>
      </x:c>
      <x:c r="Q130" s="89" t="n">
        <x:f>IF(AND(P130="已反馈",O130&lt;&gt;""),1,0)</x:f>
        <x:v>0</x:v>
      </x:c>
      <x:c r="R130" s="91"/>
      <x:c r="S130" s="91"/>
      <x:c r="T130" s="89" t="n">
        <x:f>IF(AND(P130="已反馈",Q130=1,R130="已核对",S130&lt;&gt;""),1,0)</x:f>
        <x:v>0</x:v>
      </x:c>
    </x:row>
    <x:row r="131" ht="76" customHeight="1">
      <x:c r="A131" s="88" t="str">
        <x:v>FB125</x:v>
      </x:c>
      <x:c r="B131" s="86"/>
      <x:c r="C131" s="88" t="str">
        <x:f>IF(COUNTIFS('运行记录'!$A$7:$A$150,B131)=1,INDEX('运行记录'!$E$7:$E$150,MATCH(B131,'运行记录'!$A$7:$A$150,0)),"")</x:f>
      </x:c>
      <x:c r="D131" s="89" t="str">
        <x:f>IF(C131="","",IF(INDEX('特性清单'!$B$7:$B$18,MATCH(INDEX('运行记录'!$C$7:$C$150,MATCH(B131,'运行记录'!$A$7:$A$150,0)),'特性清单'!$A$7:$A$18,0))="","",INDEX('特性清单'!$B$7:$B$18,MATCH(INDEX('运行记录'!$C$7:$C$150,MATCH(B131,'运行记录'!$A$7:$A$150,0)),'特性清单'!$A$7:$A$18,0))))</x:f>
      </x:c>
      <x:c r="E131" s="91"/>
      <x:c r="F131" s="91"/>
      <x:c r="G131" s="91"/>
      <x:c r="H131" s="91"/>
      <x:c r="I131" s="91"/>
      <x:c r="J131" s="91"/>
      <x:c r="K131" s="91"/>
      <x:c r="L131" s="91"/>
      <x:c r="M131" s="91"/>
      <x:c r="N131" s="91"/>
      <x:c r="O131" s="91"/>
      <x:c r="P131" s="89" t="str">
        <x:f>IF(COUNTA(B131)+COUNTA(E131:O131)+COUNTA(R131:S131)=0,"待反馈",IF(OR(COUNTIFS('运行记录'!$A$7:$A$150,B131)&lt;&gt;1,COUNTIFS($A$7:$A$150,A131)&lt;&gt;1),"ID无效或重复",IF(OR(D131="",E131="",F131=""),"待补齐场景",IF(AND(J131="未体验",K131="未体验"),"未体验",IF(OR(J131="未体验",K131="未体验"),"需核对未体验",IF(COUNTA(G131:M131)&lt;&gt;7,"待补齐关键内容","已反馈"))))))</x:f>
        <x:v>待反馈</x:v>
      </x:c>
      <x:c r="Q131" s="89" t="n">
        <x:f>IF(AND(P131="已反馈",O131&lt;&gt;""),1,0)</x:f>
        <x:v>0</x:v>
      </x:c>
      <x:c r="R131" s="91"/>
      <x:c r="S131" s="91"/>
      <x:c r="T131" s="89" t="n">
        <x:f>IF(AND(P131="已反馈",Q131=1,R131="已核对",S131&lt;&gt;""),1,0)</x:f>
        <x:v>0</x:v>
      </x:c>
    </x:row>
    <x:row r="132" ht="76" customHeight="1">
      <x:c r="A132" s="88" t="str">
        <x:v>FB126</x:v>
      </x:c>
      <x:c r="B132" s="86"/>
      <x:c r="C132" s="88" t="str">
        <x:f>IF(COUNTIFS('运行记录'!$A$7:$A$150,B132)=1,INDEX('运行记录'!$E$7:$E$150,MATCH(B132,'运行记录'!$A$7:$A$150,0)),"")</x:f>
      </x:c>
      <x:c r="D132" s="89" t="str">
        <x:f>IF(C132="","",IF(INDEX('特性清单'!$B$7:$B$18,MATCH(INDEX('运行记录'!$C$7:$C$150,MATCH(B132,'运行记录'!$A$7:$A$150,0)),'特性清单'!$A$7:$A$18,0))="","",INDEX('特性清单'!$B$7:$B$18,MATCH(INDEX('运行记录'!$C$7:$C$150,MATCH(B132,'运行记录'!$A$7:$A$150,0)),'特性清单'!$A$7:$A$18,0))))</x:f>
      </x:c>
      <x:c r="E132" s="91"/>
      <x:c r="F132" s="91"/>
      <x:c r="G132" s="91"/>
      <x:c r="H132" s="91"/>
      <x:c r="I132" s="91"/>
      <x:c r="J132" s="91"/>
      <x:c r="K132" s="91"/>
      <x:c r="L132" s="91"/>
      <x:c r="M132" s="91"/>
      <x:c r="N132" s="91"/>
      <x:c r="O132" s="91"/>
      <x:c r="P132" s="89" t="str">
        <x:f>IF(COUNTA(B132)+COUNTA(E132:O132)+COUNTA(R132:S132)=0,"待反馈",IF(OR(COUNTIFS('运行记录'!$A$7:$A$150,B132)&lt;&gt;1,COUNTIFS($A$7:$A$150,A132)&lt;&gt;1),"ID无效或重复",IF(OR(D132="",E132="",F132=""),"待补齐场景",IF(AND(J132="未体验",K132="未体验"),"未体验",IF(OR(J132="未体验",K132="未体验"),"需核对未体验",IF(COUNTA(G132:M132)&lt;&gt;7,"待补齐关键内容","已反馈"))))))</x:f>
        <x:v>待反馈</x:v>
      </x:c>
      <x:c r="Q132" s="89" t="n">
        <x:f>IF(AND(P132="已反馈",O132&lt;&gt;""),1,0)</x:f>
        <x:v>0</x:v>
      </x:c>
      <x:c r="R132" s="91"/>
      <x:c r="S132" s="91"/>
      <x:c r="T132" s="89" t="n">
        <x:f>IF(AND(P132="已反馈",Q132=1,R132="已核对",S132&lt;&gt;""),1,0)</x:f>
        <x:v>0</x:v>
      </x:c>
    </x:row>
    <x:row r="133" ht="76" customHeight="1">
      <x:c r="A133" s="88" t="str">
        <x:v>FB127</x:v>
      </x:c>
      <x:c r="B133" s="86"/>
      <x:c r="C133" s="88" t="str">
        <x:f>IF(COUNTIFS('运行记录'!$A$7:$A$150,B133)=1,INDEX('运行记录'!$E$7:$E$150,MATCH(B133,'运行记录'!$A$7:$A$150,0)),"")</x:f>
      </x:c>
      <x:c r="D133" s="89" t="str">
        <x:f>IF(C133="","",IF(INDEX('特性清单'!$B$7:$B$18,MATCH(INDEX('运行记录'!$C$7:$C$150,MATCH(B133,'运行记录'!$A$7:$A$150,0)),'特性清单'!$A$7:$A$18,0))="","",INDEX('特性清单'!$B$7:$B$18,MATCH(INDEX('运行记录'!$C$7:$C$150,MATCH(B133,'运行记录'!$A$7:$A$150,0)),'特性清单'!$A$7:$A$18,0))))</x:f>
      </x:c>
      <x:c r="E133" s="91"/>
      <x:c r="F133" s="91"/>
      <x:c r="G133" s="91"/>
      <x:c r="H133" s="91"/>
      <x:c r="I133" s="91"/>
      <x:c r="J133" s="91"/>
      <x:c r="K133" s="91"/>
      <x:c r="L133" s="91"/>
      <x:c r="M133" s="91"/>
      <x:c r="N133" s="91"/>
      <x:c r="O133" s="91"/>
      <x:c r="P133" s="89" t="str">
        <x:f>IF(COUNTA(B133)+COUNTA(E133:O133)+COUNTA(R133:S133)=0,"待反馈",IF(OR(COUNTIFS('运行记录'!$A$7:$A$150,B133)&lt;&gt;1,COUNTIFS($A$7:$A$150,A133)&lt;&gt;1),"ID无效或重复",IF(OR(D133="",E133="",F133=""),"待补齐场景",IF(AND(J133="未体验",K133="未体验"),"未体验",IF(OR(J133="未体验",K133="未体验"),"需核对未体验",IF(COUNTA(G133:M133)&lt;&gt;7,"待补齐关键内容","已反馈"))))))</x:f>
        <x:v>待反馈</x:v>
      </x:c>
      <x:c r="Q133" s="89" t="n">
        <x:f>IF(AND(P133="已反馈",O133&lt;&gt;""),1,0)</x:f>
        <x:v>0</x:v>
      </x:c>
      <x:c r="R133" s="91"/>
      <x:c r="S133" s="91"/>
      <x:c r="T133" s="89" t="n">
        <x:f>IF(AND(P133="已反馈",Q133=1,R133="已核对",S133&lt;&gt;""),1,0)</x:f>
        <x:v>0</x:v>
      </x:c>
    </x:row>
    <x:row r="134" ht="76" customHeight="1">
      <x:c r="A134" s="88" t="str">
        <x:v>FB128</x:v>
      </x:c>
      <x:c r="B134" s="86"/>
      <x:c r="C134" s="88" t="str">
        <x:f>IF(COUNTIFS('运行记录'!$A$7:$A$150,B134)=1,INDEX('运行记录'!$E$7:$E$150,MATCH(B134,'运行记录'!$A$7:$A$150,0)),"")</x:f>
      </x:c>
      <x:c r="D134" s="89" t="str">
        <x:f>IF(C134="","",IF(INDEX('特性清单'!$B$7:$B$18,MATCH(INDEX('运行记录'!$C$7:$C$150,MATCH(B134,'运行记录'!$A$7:$A$150,0)),'特性清单'!$A$7:$A$18,0))="","",INDEX('特性清单'!$B$7:$B$18,MATCH(INDEX('运行记录'!$C$7:$C$150,MATCH(B134,'运行记录'!$A$7:$A$150,0)),'特性清单'!$A$7:$A$18,0))))</x:f>
      </x:c>
      <x:c r="E134" s="91"/>
      <x:c r="F134" s="91"/>
      <x:c r="G134" s="91"/>
      <x:c r="H134" s="91"/>
      <x:c r="I134" s="91"/>
      <x:c r="J134" s="91"/>
      <x:c r="K134" s="91"/>
      <x:c r="L134" s="91"/>
      <x:c r="M134" s="91"/>
      <x:c r="N134" s="91"/>
      <x:c r="O134" s="91"/>
      <x:c r="P134" s="89" t="str">
        <x:f>IF(COUNTA(B134)+COUNTA(E134:O134)+COUNTA(R134:S134)=0,"待反馈",IF(OR(COUNTIFS('运行记录'!$A$7:$A$150,B134)&lt;&gt;1,COUNTIFS($A$7:$A$150,A134)&lt;&gt;1),"ID无效或重复",IF(OR(D134="",E134="",F134=""),"待补齐场景",IF(AND(J134="未体验",K134="未体验"),"未体验",IF(OR(J134="未体验",K134="未体验"),"需核对未体验",IF(COUNTA(G134:M134)&lt;&gt;7,"待补齐关键内容","已反馈"))))))</x:f>
        <x:v>待反馈</x:v>
      </x:c>
      <x:c r="Q134" s="89" t="n">
        <x:f>IF(AND(P134="已反馈",O134&lt;&gt;""),1,0)</x:f>
        <x:v>0</x:v>
      </x:c>
      <x:c r="R134" s="91"/>
      <x:c r="S134" s="91"/>
      <x:c r="T134" s="89" t="n">
        <x:f>IF(AND(P134="已反馈",Q134=1,R134="已核对",S134&lt;&gt;""),1,0)</x:f>
        <x:v>0</x:v>
      </x:c>
    </x:row>
    <x:row r="135" ht="76" customHeight="1">
      <x:c r="A135" s="88" t="str">
        <x:v>FB129</x:v>
      </x:c>
      <x:c r="B135" s="86"/>
      <x:c r="C135" s="88" t="str">
        <x:f>IF(COUNTIFS('运行记录'!$A$7:$A$150,B135)=1,INDEX('运行记录'!$E$7:$E$150,MATCH(B135,'运行记录'!$A$7:$A$150,0)),"")</x:f>
      </x:c>
      <x:c r="D135" s="89" t="str">
        <x:f>IF(C135="","",IF(INDEX('特性清单'!$B$7:$B$18,MATCH(INDEX('运行记录'!$C$7:$C$150,MATCH(B135,'运行记录'!$A$7:$A$150,0)),'特性清单'!$A$7:$A$18,0))="","",INDEX('特性清单'!$B$7:$B$18,MATCH(INDEX('运行记录'!$C$7:$C$150,MATCH(B135,'运行记录'!$A$7:$A$150,0)),'特性清单'!$A$7:$A$18,0))))</x:f>
      </x:c>
      <x:c r="E135" s="91"/>
      <x:c r="F135" s="91"/>
      <x:c r="G135" s="91"/>
      <x:c r="H135" s="91"/>
      <x:c r="I135" s="91"/>
      <x:c r="J135" s="91"/>
      <x:c r="K135" s="91"/>
      <x:c r="L135" s="91"/>
      <x:c r="M135" s="91"/>
      <x:c r="N135" s="91"/>
      <x:c r="O135" s="91"/>
      <x:c r="P135" s="89" t="str">
        <x:f>IF(COUNTA(B135)+COUNTA(E135:O135)+COUNTA(R135:S135)=0,"待反馈",IF(OR(COUNTIFS('运行记录'!$A$7:$A$150,B135)&lt;&gt;1,COUNTIFS($A$7:$A$150,A135)&lt;&gt;1),"ID无效或重复",IF(OR(D135="",E135="",F135=""),"待补齐场景",IF(AND(J135="未体验",K135="未体验"),"未体验",IF(OR(J135="未体验",K135="未体验"),"需核对未体验",IF(COUNTA(G135:M135)&lt;&gt;7,"待补齐关键内容","已反馈"))))))</x:f>
        <x:v>待反馈</x:v>
      </x:c>
      <x:c r="Q135" s="89" t="n">
        <x:f>IF(AND(P135="已反馈",O135&lt;&gt;""),1,0)</x:f>
        <x:v>0</x:v>
      </x:c>
      <x:c r="R135" s="91"/>
      <x:c r="S135" s="91"/>
      <x:c r="T135" s="89" t="n">
        <x:f>IF(AND(P135="已反馈",Q135=1,R135="已核对",S135&lt;&gt;""),1,0)</x:f>
        <x:v>0</x:v>
      </x:c>
    </x:row>
    <x:row r="136" ht="76" customHeight="1">
      <x:c r="A136" s="88" t="str">
        <x:v>FB130</x:v>
      </x:c>
      <x:c r="B136" s="86"/>
      <x:c r="C136" s="88" t="str">
        <x:f>IF(COUNTIFS('运行记录'!$A$7:$A$150,B136)=1,INDEX('运行记录'!$E$7:$E$150,MATCH(B136,'运行记录'!$A$7:$A$150,0)),"")</x:f>
      </x:c>
      <x:c r="D136" s="89" t="str">
        <x:f>IF(C136="","",IF(INDEX('特性清单'!$B$7:$B$18,MATCH(INDEX('运行记录'!$C$7:$C$150,MATCH(B136,'运行记录'!$A$7:$A$150,0)),'特性清单'!$A$7:$A$18,0))="","",INDEX('特性清单'!$B$7:$B$18,MATCH(INDEX('运行记录'!$C$7:$C$150,MATCH(B136,'运行记录'!$A$7:$A$150,0)),'特性清单'!$A$7:$A$18,0))))</x:f>
      </x:c>
      <x:c r="E136" s="91"/>
      <x:c r="F136" s="91"/>
      <x:c r="G136" s="91"/>
      <x:c r="H136" s="91"/>
      <x:c r="I136" s="91"/>
      <x:c r="J136" s="91"/>
      <x:c r="K136" s="91"/>
      <x:c r="L136" s="91"/>
      <x:c r="M136" s="91"/>
      <x:c r="N136" s="91"/>
      <x:c r="O136" s="91"/>
      <x:c r="P136" s="89" t="str">
        <x:f>IF(COUNTA(B136)+COUNTA(E136:O136)+COUNTA(R136:S136)=0,"待反馈",IF(OR(COUNTIFS('运行记录'!$A$7:$A$150,B136)&lt;&gt;1,COUNTIFS($A$7:$A$150,A136)&lt;&gt;1),"ID无效或重复",IF(OR(D136="",E136="",F136=""),"待补齐场景",IF(AND(J136="未体验",K136="未体验"),"未体验",IF(OR(J136="未体验",K136="未体验"),"需核对未体验",IF(COUNTA(G136:M136)&lt;&gt;7,"待补齐关键内容","已反馈"))))))</x:f>
        <x:v>待反馈</x:v>
      </x:c>
      <x:c r="Q136" s="89" t="n">
        <x:f>IF(AND(P136="已反馈",O136&lt;&gt;""),1,0)</x:f>
        <x:v>0</x:v>
      </x:c>
      <x:c r="R136" s="91"/>
      <x:c r="S136" s="91"/>
      <x:c r="T136" s="89" t="n">
        <x:f>IF(AND(P136="已反馈",Q136=1,R136="已核对",S136&lt;&gt;""),1,0)</x:f>
        <x:v>0</x:v>
      </x:c>
    </x:row>
    <x:row r="137" ht="76" customHeight="1">
      <x:c r="A137" s="88" t="str">
        <x:v>FB131</x:v>
      </x:c>
      <x:c r="B137" s="86"/>
      <x:c r="C137" s="88" t="str">
        <x:f>IF(COUNTIFS('运行记录'!$A$7:$A$150,B137)=1,INDEX('运行记录'!$E$7:$E$150,MATCH(B137,'运行记录'!$A$7:$A$150,0)),"")</x:f>
      </x:c>
      <x:c r="D137" s="89" t="str">
        <x:f>IF(C137="","",IF(INDEX('特性清单'!$B$7:$B$18,MATCH(INDEX('运行记录'!$C$7:$C$150,MATCH(B137,'运行记录'!$A$7:$A$150,0)),'特性清单'!$A$7:$A$18,0))="","",INDEX('特性清单'!$B$7:$B$18,MATCH(INDEX('运行记录'!$C$7:$C$150,MATCH(B137,'运行记录'!$A$7:$A$150,0)),'特性清单'!$A$7:$A$18,0))))</x:f>
      </x:c>
      <x:c r="E137" s="91"/>
      <x:c r="F137" s="91"/>
      <x:c r="G137" s="91"/>
      <x:c r="H137" s="91"/>
      <x:c r="I137" s="91"/>
      <x:c r="J137" s="91"/>
      <x:c r="K137" s="91"/>
      <x:c r="L137" s="91"/>
      <x:c r="M137" s="91"/>
      <x:c r="N137" s="91"/>
      <x:c r="O137" s="91"/>
      <x:c r="P137" s="89" t="str">
        <x:f>IF(COUNTA(B137)+COUNTA(E137:O137)+COUNTA(R137:S137)=0,"待反馈",IF(OR(COUNTIFS('运行记录'!$A$7:$A$150,B137)&lt;&gt;1,COUNTIFS($A$7:$A$150,A137)&lt;&gt;1),"ID无效或重复",IF(OR(D137="",E137="",F137=""),"待补齐场景",IF(AND(J137="未体验",K137="未体验"),"未体验",IF(OR(J137="未体验",K137="未体验"),"需核对未体验",IF(COUNTA(G137:M137)&lt;&gt;7,"待补齐关键内容","已反馈"))))))</x:f>
        <x:v>待反馈</x:v>
      </x:c>
      <x:c r="Q137" s="89" t="n">
        <x:f>IF(AND(P137="已反馈",O137&lt;&gt;""),1,0)</x:f>
        <x:v>0</x:v>
      </x:c>
      <x:c r="R137" s="91"/>
      <x:c r="S137" s="91"/>
      <x:c r="T137" s="89" t="n">
        <x:f>IF(AND(P137="已反馈",Q137=1,R137="已核对",S137&lt;&gt;""),1,0)</x:f>
        <x:v>0</x:v>
      </x:c>
    </x:row>
    <x:row r="138" ht="76" customHeight="1">
      <x:c r="A138" s="88" t="str">
        <x:v>FB132</x:v>
      </x:c>
      <x:c r="B138" s="86"/>
      <x:c r="C138" s="88" t="str">
        <x:f>IF(COUNTIFS('运行记录'!$A$7:$A$150,B138)=1,INDEX('运行记录'!$E$7:$E$150,MATCH(B138,'运行记录'!$A$7:$A$150,0)),"")</x:f>
      </x:c>
      <x:c r="D138" s="89" t="str">
        <x:f>IF(C138="","",IF(INDEX('特性清单'!$B$7:$B$18,MATCH(INDEX('运行记录'!$C$7:$C$150,MATCH(B138,'运行记录'!$A$7:$A$150,0)),'特性清单'!$A$7:$A$18,0))="","",INDEX('特性清单'!$B$7:$B$18,MATCH(INDEX('运行记录'!$C$7:$C$150,MATCH(B138,'运行记录'!$A$7:$A$150,0)),'特性清单'!$A$7:$A$18,0))))</x:f>
      </x:c>
      <x:c r="E138" s="91"/>
      <x:c r="F138" s="91"/>
      <x:c r="G138" s="91"/>
      <x:c r="H138" s="91"/>
      <x:c r="I138" s="91"/>
      <x:c r="J138" s="91"/>
      <x:c r="K138" s="91"/>
      <x:c r="L138" s="91"/>
      <x:c r="M138" s="91"/>
      <x:c r="N138" s="91"/>
      <x:c r="O138" s="91"/>
      <x:c r="P138" s="89" t="str">
        <x:f>IF(COUNTA(B138)+COUNTA(E138:O138)+COUNTA(R138:S138)=0,"待反馈",IF(OR(COUNTIFS('运行记录'!$A$7:$A$150,B138)&lt;&gt;1,COUNTIFS($A$7:$A$150,A138)&lt;&gt;1),"ID无效或重复",IF(OR(D138="",E138="",F138=""),"待补齐场景",IF(AND(J138="未体验",K138="未体验"),"未体验",IF(OR(J138="未体验",K138="未体验"),"需核对未体验",IF(COUNTA(G138:M138)&lt;&gt;7,"待补齐关键内容","已反馈"))))))</x:f>
        <x:v>待反馈</x:v>
      </x:c>
      <x:c r="Q138" s="89" t="n">
        <x:f>IF(AND(P138="已反馈",O138&lt;&gt;""),1,0)</x:f>
        <x:v>0</x:v>
      </x:c>
      <x:c r="R138" s="91"/>
      <x:c r="S138" s="91"/>
      <x:c r="T138" s="89" t="n">
        <x:f>IF(AND(P138="已反馈",Q138=1,R138="已核对",S138&lt;&gt;""),1,0)</x:f>
        <x:v>0</x:v>
      </x:c>
    </x:row>
    <x:row r="139" ht="76" customHeight="1">
      <x:c r="A139" s="88" t="str">
        <x:v>FB133</x:v>
      </x:c>
      <x:c r="B139" s="86"/>
      <x:c r="C139" s="88" t="str">
        <x:f>IF(COUNTIFS('运行记录'!$A$7:$A$150,B139)=1,INDEX('运行记录'!$E$7:$E$150,MATCH(B139,'运行记录'!$A$7:$A$150,0)),"")</x:f>
      </x:c>
      <x:c r="D139" s="89" t="str">
        <x:f>IF(C139="","",IF(INDEX('特性清单'!$B$7:$B$18,MATCH(INDEX('运行记录'!$C$7:$C$150,MATCH(B139,'运行记录'!$A$7:$A$150,0)),'特性清单'!$A$7:$A$18,0))="","",INDEX('特性清单'!$B$7:$B$18,MATCH(INDEX('运行记录'!$C$7:$C$150,MATCH(B139,'运行记录'!$A$7:$A$150,0)),'特性清单'!$A$7:$A$18,0))))</x:f>
      </x:c>
      <x:c r="E139" s="91"/>
      <x:c r="F139" s="91"/>
      <x:c r="G139" s="91"/>
      <x:c r="H139" s="91"/>
      <x:c r="I139" s="91"/>
      <x:c r="J139" s="91"/>
      <x:c r="K139" s="91"/>
      <x:c r="L139" s="91"/>
      <x:c r="M139" s="91"/>
      <x:c r="N139" s="91"/>
      <x:c r="O139" s="91"/>
      <x:c r="P139" s="89" t="str">
        <x:f>IF(COUNTA(B139)+COUNTA(E139:O139)+COUNTA(R139:S139)=0,"待反馈",IF(OR(COUNTIFS('运行记录'!$A$7:$A$150,B139)&lt;&gt;1,COUNTIFS($A$7:$A$150,A139)&lt;&gt;1),"ID无效或重复",IF(OR(D139="",E139="",F139=""),"待补齐场景",IF(AND(J139="未体验",K139="未体验"),"未体验",IF(OR(J139="未体验",K139="未体验"),"需核对未体验",IF(COUNTA(G139:M139)&lt;&gt;7,"待补齐关键内容","已反馈"))))))</x:f>
        <x:v>待反馈</x:v>
      </x:c>
      <x:c r="Q139" s="89" t="n">
        <x:f>IF(AND(P139="已反馈",O139&lt;&gt;""),1,0)</x:f>
        <x:v>0</x:v>
      </x:c>
      <x:c r="R139" s="91"/>
      <x:c r="S139" s="91"/>
      <x:c r="T139" s="89" t="n">
        <x:f>IF(AND(P139="已反馈",Q139=1,R139="已核对",S139&lt;&gt;""),1,0)</x:f>
        <x:v>0</x:v>
      </x:c>
    </x:row>
    <x:row r="140" ht="76" customHeight="1">
      <x:c r="A140" s="88" t="str">
        <x:v>FB134</x:v>
      </x:c>
      <x:c r="B140" s="86"/>
      <x:c r="C140" s="88" t="str">
        <x:f>IF(COUNTIFS('运行记录'!$A$7:$A$150,B140)=1,INDEX('运行记录'!$E$7:$E$150,MATCH(B140,'运行记录'!$A$7:$A$150,0)),"")</x:f>
      </x:c>
      <x:c r="D140" s="89" t="str">
        <x:f>IF(C140="","",IF(INDEX('特性清单'!$B$7:$B$18,MATCH(INDEX('运行记录'!$C$7:$C$150,MATCH(B140,'运行记录'!$A$7:$A$150,0)),'特性清单'!$A$7:$A$18,0))="","",INDEX('特性清单'!$B$7:$B$18,MATCH(INDEX('运行记录'!$C$7:$C$150,MATCH(B140,'运行记录'!$A$7:$A$150,0)),'特性清单'!$A$7:$A$18,0))))</x:f>
      </x:c>
      <x:c r="E140" s="91"/>
      <x:c r="F140" s="91"/>
      <x:c r="G140" s="91"/>
      <x:c r="H140" s="91"/>
      <x:c r="I140" s="91"/>
      <x:c r="J140" s="91"/>
      <x:c r="K140" s="91"/>
      <x:c r="L140" s="91"/>
      <x:c r="M140" s="91"/>
      <x:c r="N140" s="91"/>
      <x:c r="O140" s="91"/>
      <x:c r="P140" s="89" t="str">
        <x:f>IF(COUNTA(B140)+COUNTA(E140:O140)+COUNTA(R140:S140)=0,"待反馈",IF(OR(COUNTIFS('运行记录'!$A$7:$A$150,B140)&lt;&gt;1,COUNTIFS($A$7:$A$150,A140)&lt;&gt;1),"ID无效或重复",IF(OR(D140="",E140="",F140=""),"待补齐场景",IF(AND(J140="未体验",K140="未体验"),"未体验",IF(OR(J140="未体验",K140="未体验"),"需核对未体验",IF(COUNTA(G140:M140)&lt;&gt;7,"待补齐关键内容","已反馈"))))))</x:f>
        <x:v>待反馈</x:v>
      </x:c>
      <x:c r="Q140" s="89" t="n">
        <x:f>IF(AND(P140="已反馈",O140&lt;&gt;""),1,0)</x:f>
        <x:v>0</x:v>
      </x:c>
      <x:c r="R140" s="91"/>
      <x:c r="S140" s="91"/>
      <x:c r="T140" s="89" t="n">
        <x:f>IF(AND(P140="已反馈",Q140=1,R140="已核对",S140&lt;&gt;""),1,0)</x:f>
        <x:v>0</x:v>
      </x:c>
    </x:row>
    <x:row r="141" ht="76" customHeight="1">
      <x:c r="A141" s="88" t="str">
        <x:v>FB135</x:v>
      </x:c>
      <x:c r="B141" s="86"/>
      <x:c r="C141" s="88" t="str">
        <x:f>IF(COUNTIFS('运行记录'!$A$7:$A$150,B141)=1,INDEX('运行记录'!$E$7:$E$150,MATCH(B141,'运行记录'!$A$7:$A$150,0)),"")</x:f>
      </x:c>
      <x:c r="D141" s="89" t="str">
        <x:f>IF(C141="","",IF(INDEX('特性清单'!$B$7:$B$18,MATCH(INDEX('运行记录'!$C$7:$C$150,MATCH(B141,'运行记录'!$A$7:$A$150,0)),'特性清单'!$A$7:$A$18,0))="","",INDEX('特性清单'!$B$7:$B$18,MATCH(INDEX('运行记录'!$C$7:$C$150,MATCH(B141,'运行记录'!$A$7:$A$150,0)),'特性清单'!$A$7:$A$18,0))))</x:f>
      </x:c>
      <x:c r="E141" s="91"/>
      <x:c r="F141" s="91"/>
      <x:c r="G141" s="91"/>
      <x:c r="H141" s="91"/>
      <x:c r="I141" s="91"/>
      <x:c r="J141" s="91"/>
      <x:c r="K141" s="91"/>
      <x:c r="L141" s="91"/>
      <x:c r="M141" s="91"/>
      <x:c r="N141" s="91"/>
      <x:c r="O141" s="91"/>
      <x:c r="P141" s="89" t="str">
        <x:f>IF(COUNTA(B141)+COUNTA(E141:O141)+COUNTA(R141:S141)=0,"待反馈",IF(OR(COUNTIFS('运行记录'!$A$7:$A$150,B141)&lt;&gt;1,COUNTIFS($A$7:$A$150,A141)&lt;&gt;1),"ID无效或重复",IF(OR(D141="",E141="",F141=""),"待补齐场景",IF(AND(J141="未体验",K141="未体验"),"未体验",IF(OR(J141="未体验",K141="未体验"),"需核对未体验",IF(COUNTA(G141:M141)&lt;&gt;7,"待补齐关键内容","已反馈"))))))</x:f>
        <x:v>待反馈</x:v>
      </x:c>
      <x:c r="Q141" s="89" t="n">
        <x:f>IF(AND(P141="已反馈",O141&lt;&gt;""),1,0)</x:f>
        <x:v>0</x:v>
      </x:c>
      <x:c r="R141" s="91"/>
      <x:c r="S141" s="91"/>
      <x:c r="T141" s="89" t="n">
        <x:f>IF(AND(P141="已反馈",Q141=1,R141="已核对",S141&lt;&gt;""),1,0)</x:f>
        <x:v>0</x:v>
      </x:c>
    </x:row>
    <x:row r="142" ht="76" customHeight="1">
      <x:c r="A142" s="88" t="str">
        <x:v>FB136</x:v>
      </x:c>
      <x:c r="B142" s="86"/>
      <x:c r="C142" s="88" t="str">
        <x:f>IF(COUNTIFS('运行记录'!$A$7:$A$150,B142)=1,INDEX('运行记录'!$E$7:$E$150,MATCH(B142,'运行记录'!$A$7:$A$150,0)),"")</x:f>
      </x:c>
      <x:c r="D142" s="89" t="str">
        <x:f>IF(C142="","",IF(INDEX('特性清单'!$B$7:$B$18,MATCH(INDEX('运行记录'!$C$7:$C$150,MATCH(B142,'运行记录'!$A$7:$A$150,0)),'特性清单'!$A$7:$A$18,0))="","",INDEX('特性清单'!$B$7:$B$18,MATCH(INDEX('运行记录'!$C$7:$C$150,MATCH(B142,'运行记录'!$A$7:$A$150,0)),'特性清单'!$A$7:$A$18,0))))</x:f>
      </x:c>
      <x:c r="E142" s="91"/>
      <x:c r="F142" s="91"/>
      <x:c r="G142" s="91"/>
      <x:c r="H142" s="91"/>
      <x:c r="I142" s="91"/>
      <x:c r="J142" s="91"/>
      <x:c r="K142" s="91"/>
      <x:c r="L142" s="91"/>
      <x:c r="M142" s="91"/>
      <x:c r="N142" s="91"/>
      <x:c r="O142" s="91"/>
      <x:c r="P142" s="89" t="str">
        <x:f>IF(COUNTA(B142)+COUNTA(E142:O142)+COUNTA(R142:S142)=0,"待反馈",IF(OR(COUNTIFS('运行记录'!$A$7:$A$150,B142)&lt;&gt;1,COUNTIFS($A$7:$A$150,A142)&lt;&gt;1),"ID无效或重复",IF(OR(D142="",E142="",F142=""),"待补齐场景",IF(AND(J142="未体验",K142="未体验"),"未体验",IF(OR(J142="未体验",K142="未体验"),"需核对未体验",IF(COUNTA(G142:M142)&lt;&gt;7,"待补齐关键内容","已反馈"))))))</x:f>
        <x:v>待反馈</x:v>
      </x:c>
      <x:c r="Q142" s="89" t="n">
        <x:f>IF(AND(P142="已反馈",O142&lt;&gt;""),1,0)</x:f>
        <x:v>0</x:v>
      </x:c>
      <x:c r="R142" s="91"/>
      <x:c r="S142" s="91"/>
      <x:c r="T142" s="89" t="n">
        <x:f>IF(AND(P142="已反馈",Q142=1,R142="已核对",S142&lt;&gt;""),1,0)</x:f>
        <x:v>0</x:v>
      </x:c>
    </x:row>
    <x:row r="143" ht="76" customHeight="1">
      <x:c r="A143" s="88" t="str">
        <x:v>FB137</x:v>
      </x:c>
      <x:c r="B143" s="86"/>
      <x:c r="C143" s="88" t="str">
        <x:f>IF(COUNTIFS('运行记录'!$A$7:$A$150,B143)=1,INDEX('运行记录'!$E$7:$E$150,MATCH(B143,'运行记录'!$A$7:$A$150,0)),"")</x:f>
      </x:c>
      <x:c r="D143" s="89" t="str">
        <x:f>IF(C143="","",IF(INDEX('特性清单'!$B$7:$B$18,MATCH(INDEX('运行记录'!$C$7:$C$150,MATCH(B143,'运行记录'!$A$7:$A$150,0)),'特性清单'!$A$7:$A$18,0))="","",INDEX('特性清单'!$B$7:$B$18,MATCH(INDEX('运行记录'!$C$7:$C$150,MATCH(B143,'运行记录'!$A$7:$A$150,0)),'特性清单'!$A$7:$A$18,0))))</x:f>
      </x:c>
      <x:c r="E143" s="91"/>
      <x:c r="F143" s="91"/>
      <x:c r="G143" s="91"/>
      <x:c r="H143" s="91"/>
      <x:c r="I143" s="91"/>
      <x:c r="J143" s="91"/>
      <x:c r="K143" s="91"/>
      <x:c r="L143" s="91"/>
      <x:c r="M143" s="91"/>
      <x:c r="N143" s="91"/>
      <x:c r="O143" s="91"/>
      <x:c r="P143" s="89" t="str">
        <x:f>IF(COUNTA(B143)+COUNTA(E143:O143)+COUNTA(R143:S143)=0,"待反馈",IF(OR(COUNTIFS('运行记录'!$A$7:$A$150,B143)&lt;&gt;1,COUNTIFS($A$7:$A$150,A143)&lt;&gt;1),"ID无效或重复",IF(OR(D143="",E143="",F143=""),"待补齐场景",IF(AND(J143="未体验",K143="未体验"),"未体验",IF(OR(J143="未体验",K143="未体验"),"需核对未体验",IF(COUNTA(G143:M143)&lt;&gt;7,"待补齐关键内容","已反馈"))))))</x:f>
        <x:v>待反馈</x:v>
      </x:c>
      <x:c r="Q143" s="89" t="n">
        <x:f>IF(AND(P143="已反馈",O143&lt;&gt;""),1,0)</x:f>
        <x:v>0</x:v>
      </x:c>
      <x:c r="R143" s="91"/>
      <x:c r="S143" s="91"/>
      <x:c r="T143" s="89" t="n">
        <x:f>IF(AND(P143="已反馈",Q143=1,R143="已核对",S143&lt;&gt;""),1,0)</x:f>
        <x:v>0</x:v>
      </x:c>
    </x:row>
    <x:row r="144" ht="76" customHeight="1">
      <x:c r="A144" s="88" t="str">
        <x:v>FB138</x:v>
      </x:c>
      <x:c r="B144" s="86"/>
      <x:c r="C144" s="88" t="str">
        <x:f>IF(COUNTIFS('运行记录'!$A$7:$A$150,B144)=1,INDEX('运行记录'!$E$7:$E$150,MATCH(B144,'运行记录'!$A$7:$A$150,0)),"")</x:f>
      </x:c>
      <x:c r="D144" s="89" t="str">
        <x:f>IF(C144="","",IF(INDEX('特性清单'!$B$7:$B$18,MATCH(INDEX('运行记录'!$C$7:$C$150,MATCH(B144,'运行记录'!$A$7:$A$150,0)),'特性清单'!$A$7:$A$18,0))="","",INDEX('特性清单'!$B$7:$B$18,MATCH(INDEX('运行记录'!$C$7:$C$150,MATCH(B144,'运行记录'!$A$7:$A$150,0)),'特性清单'!$A$7:$A$18,0))))</x:f>
      </x:c>
      <x:c r="E144" s="91"/>
      <x:c r="F144" s="91"/>
      <x:c r="G144" s="91"/>
      <x:c r="H144" s="91"/>
      <x:c r="I144" s="91"/>
      <x:c r="J144" s="91"/>
      <x:c r="K144" s="91"/>
      <x:c r="L144" s="91"/>
      <x:c r="M144" s="91"/>
      <x:c r="N144" s="91"/>
      <x:c r="O144" s="91"/>
      <x:c r="P144" s="89" t="str">
        <x:f>IF(COUNTA(B144)+COUNTA(E144:O144)+COUNTA(R144:S144)=0,"待反馈",IF(OR(COUNTIFS('运行记录'!$A$7:$A$150,B144)&lt;&gt;1,COUNTIFS($A$7:$A$150,A144)&lt;&gt;1),"ID无效或重复",IF(OR(D144="",E144="",F144=""),"待补齐场景",IF(AND(J144="未体验",K144="未体验"),"未体验",IF(OR(J144="未体验",K144="未体验"),"需核对未体验",IF(COUNTA(G144:M144)&lt;&gt;7,"待补齐关键内容","已反馈"))))))</x:f>
        <x:v>待反馈</x:v>
      </x:c>
      <x:c r="Q144" s="89" t="n">
        <x:f>IF(AND(P144="已反馈",O144&lt;&gt;""),1,0)</x:f>
        <x:v>0</x:v>
      </x:c>
      <x:c r="R144" s="91"/>
      <x:c r="S144" s="91"/>
      <x:c r="T144" s="89" t="n">
        <x:f>IF(AND(P144="已反馈",Q144=1,R144="已核对",S144&lt;&gt;""),1,0)</x:f>
        <x:v>0</x:v>
      </x:c>
    </x:row>
    <x:row r="145" ht="76" customHeight="1">
      <x:c r="A145" s="88" t="str">
        <x:v>FB139</x:v>
      </x:c>
      <x:c r="B145" s="86"/>
      <x:c r="C145" s="88" t="str">
        <x:f>IF(COUNTIFS('运行记录'!$A$7:$A$150,B145)=1,INDEX('运行记录'!$E$7:$E$150,MATCH(B145,'运行记录'!$A$7:$A$150,0)),"")</x:f>
      </x:c>
      <x:c r="D145" s="89" t="str">
        <x:f>IF(C145="","",IF(INDEX('特性清单'!$B$7:$B$18,MATCH(INDEX('运行记录'!$C$7:$C$150,MATCH(B145,'运行记录'!$A$7:$A$150,0)),'特性清单'!$A$7:$A$18,0))="","",INDEX('特性清单'!$B$7:$B$18,MATCH(INDEX('运行记录'!$C$7:$C$150,MATCH(B145,'运行记录'!$A$7:$A$150,0)),'特性清单'!$A$7:$A$18,0))))</x:f>
      </x:c>
      <x:c r="E145" s="91"/>
      <x:c r="F145" s="91"/>
      <x:c r="G145" s="91"/>
      <x:c r="H145" s="91"/>
      <x:c r="I145" s="91"/>
      <x:c r="J145" s="91"/>
      <x:c r="K145" s="91"/>
      <x:c r="L145" s="91"/>
      <x:c r="M145" s="91"/>
      <x:c r="N145" s="91"/>
      <x:c r="O145" s="91"/>
      <x:c r="P145" s="89" t="str">
        <x:f>IF(COUNTA(B145)+COUNTA(E145:O145)+COUNTA(R145:S145)=0,"待反馈",IF(OR(COUNTIFS('运行记录'!$A$7:$A$150,B145)&lt;&gt;1,COUNTIFS($A$7:$A$150,A145)&lt;&gt;1),"ID无效或重复",IF(OR(D145="",E145="",F145=""),"待补齐场景",IF(AND(J145="未体验",K145="未体验"),"未体验",IF(OR(J145="未体验",K145="未体验"),"需核对未体验",IF(COUNTA(G145:M145)&lt;&gt;7,"待补齐关键内容","已反馈"))))))</x:f>
        <x:v>待反馈</x:v>
      </x:c>
      <x:c r="Q145" s="89" t="n">
        <x:f>IF(AND(P145="已反馈",O145&lt;&gt;""),1,0)</x:f>
        <x:v>0</x:v>
      </x:c>
      <x:c r="R145" s="91"/>
      <x:c r="S145" s="91"/>
      <x:c r="T145" s="89" t="n">
        <x:f>IF(AND(P145="已反馈",Q145=1,R145="已核对",S145&lt;&gt;""),1,0)</x:f>
        <x:v>0</x:v>
      </x:c>
    </x:row>
    <x:row r="146" ht="76" customHeight="1">
      <x:c r="A146" s="88" t="str">
        <x:v>FB140</x:v>
      </x:c>
      <x:c r="B146" s="86"/>
      <x:c r="C146" s="88" t="str">
        <x:f>IF(COUNTIFS('运行记录'!$A$7:$A$150,B146)=1,INDEX('运行记录'!$E$7:$E$150,MATCH(B146,'运行记录'!$A$7:$A$150,0)),"")</x:f>
      </x:c>
      <x:c r="D146" s="89" t="str">
        <x:f>IF(C146="","",IF(INDEX('特性清单'!$B$7:$B$18,MATCH(INDEX('运行记录'!$C$7:$C$150,MATCH(B146,'运行记录'!$A$7:$A$150,0)),'特性清单'!$A$7:$A$18,0))="","",INDEX('特性清单'!$B$7:$B$18,MATCH(INDEX('运行记录'!$C$7:$C$150,MATCH(B146,'运行记录'!$A$7:$A$150,0)),'特性清单'!$A$7:$A$18,0))))</x:f>
      </x:c>
      <x:c r="E146" s="91"/>
      <x:c r="F146" s="91"/>
      <x:c r="G146" s="91"/>
      <x:c r="H146" s="91"/>
      <x:c r="I146" s="91"/>
      <x:c r="J146" s="91"/>
      <x:c r="K146" s="91"/>
      <x:c r="L146" s="91"/>
      <x:c r="M146" s="91"/>
      <x:c r="N146" s="91"/>
      <x:c r="O146" s="91"/>
      <x:c r="P146" s="89" t="str">
        <x:f>IF(COUNTA(B146)+COUNTA(E146:O146)+COUNTA(R146:S146)=0,"待反馈",IF(OR(COUNTIFS('运行记录'!$A$7:$A$150,B146)&lt;&gt;1,COUNTIFS($A$7:$A$150,A146)&lt;&gt;1),"ID无效或重复",IF(OR(D146="",E146="",F146=""),"待补齐场景",IF(AND(J146="未体验",K146="未体验"),"未体验",IF(OR(J146="未体验",K146="未体验"),"需核对未体验",IF(COUNTA(G146:M146)&lt;&gt;7,"待补齐关键内容","已反馈"))))))</x:f>
        <x:v>待反馈</x:v>
      </x:c>
      <x:c r="Q146" s="89" t="n">
        <x:f>IF(AND(P146="已反馈",O146&lt;&gt;""),1,0)</x:f>
        <x:v>0</x:v>
      </x:c>
      <x:c r="R146" s="91"/>
      <x:c r="S146" s="91"/>
      <x:c r="T146" s="89" t="n">
        <x:f>IF(AND(P146="已反馈",Q146=1,R146="已核对",S146&lt;&gt;""),1,0)</x:f>
        <x:v>0</x:v>
      </x:c>
    </x:row>
    <x:row r="147" ht="76" customHeight="1">
      <x:c r="A147" s="88" t="str">
        <x:v>FB141</x:v>
      </x:c>
      <x:c r="B147" s="86"/>
      <x:c r="C147" s="88" t="str">
        <x:f>IF(COUNTIFS('运行记录'!$A$7:$A$150,B147)=1,INDEX('运行记录'!$E$7:$E$150,MATCH(B147,'运行记录'!$A$7:$A$150,0)),"")</x:f>
      </x:c>
      <x:c r="D147" s="89" t="str">
        <x:f>IF(C147="","",IF(INDEX('特性清单'!$B$7:$B$18,MATCH(INDEX('运行记录'!$C$7:$C$150,MATCH(B147,'运行记录'!$A$7:$A$150,0)),'特性清单'!$A$7:$A$18,0))="","",INDEX('特性清单'!$B$7:$B$18,MATCH(INDEX('运行记录'!$C$7:$C$150,MATCH(B147,'运行记录'!$A$7:$A$150,0)),'特性清单'!$A$7:$A$18,0))))</x:f>
      </x:c>
      <x:c r="E147" s="91"/>
      <x:c r="F147" s="91"/>
      <x:c r="G147" s="91"/>
      <x:c r="H147" s="91"/>
      <x:c r="I147" s="91"/>
      <x:c r="J147" s="91"/>
      <x:c r="K147" s="91"/>
      <x:c r="L147" s="91"/>
      <x:c r="M147" s="91"/>
      <x:c r="N147" s="91"/>
      <x:c r="O147" s="91"/>
      <x:c r="P147" s="89" t="str">
        <x:f>IF(COUNTA(B147)+COUNTA(E147:O147)+COUNTA(R147:S147)=0,"待反馈",IF(OR(COUNTIFS('运行记录'!$A$7:$A$150,B147)&lt;&gt;1,COUNTIFS($A$7:$A$150,A147)&lt;&gt;1),"ID无效或重复",IF(OR(D147="",E147="",F147=""),"待补齐场景",IF(AND(J147="未体验",K147="未体验"),"未体验",IF(OR(J147="未体验",K147="未体验"),"需核对未体验",IF(COUNTA(G147:M147)&lt;&gt;7,"待补齐关键内容","已反馈"))))))</x:f>
        <x:v>待反馈</x:v>
      </x:c>
      <x:c r="Q147" s="89" t="n">
        <x:f>IF(AND(P147="已反馈",O147&lt;&gt;""),1,0)</x:f>
        <x:v>0</x:v>
      </x:c>
      <x:c r="R147" s="91"/>
      <x:c r="S147" s="91"/>
      <x:c r="T147" s="89" t="n">
        <x:f>IF(AND(P147="已反馈",Q147=1,R147="已核对",S147&lt;&gt;""),1,0)</x:f>
        <x:v>0</x:v>
      </x:c>
    </x:row>
    <x:row r="148" ht="76" customHeight="1">
      <x:c r="A148" s="88" t="str">
        <x:v>FB142</x:v>
      </x:c>
      <x:c r="B148" s="86"/>
      <x:c r="C148" s="88" t="str">
        <x:f>IF(COUNTIFS('运行记录'!$A$7:$A$150,B148)=1,INDEX('运行记录'!$E$7:$E$150,MATCH(B148,'运行记录'!$A$7:$A$150,0)),"")</x:f>
      </x:c>
      <x:c r="D148" s="89" t="str">
        <x:f>IF(C148="","",IF(INDEX('特性清单'!$B$7:$B$18,MATCH(INDEX('运行记录'!$C$7:$C$150,MATCH(B148,'运行记录'!$A$7:$A$150,0)),'特性清单'!$A$7:$A$18,0))="","",INDEX('特性清单'!$B$7:$B$18,MATCH(INDEX('运行记录'!$C$7:$C$150,MATCH(B148,'运行记录'!$A$7:$A$150,0)),'特性清单'!$A$7:$A$18,0))))</x:f>
      </x:c>
      <x:c r="E148" s="91"/>
      <x:c r="F148" s="91"/>
      <x:c r="G148" s="91"/>
      <x:c r="H148" s="91"/>
      <x:c r="I148" s="91"/>
      <x:c r="J148" s="91"/>
      <x:c r="K148" s="91"/>
      <x:c r="L148" s="91"/>
      <x:c r="M148" s="91"/>
      <x:c r="N148" s="91"/>
      <x:c r="O148" s="91"/>
      <x:c r="P148" s="89" t="str">
        <x:f>IF(COUNTA(B148)+COUNTA(E148:O148)+COUNTA(R148:S148)=0,"待反馈",IF(OR(COUNTIFS('运行记录'!$A$7:$A$150,B148)&lt;&gt;1,COUNTIFS($A$7:$A$150,A148)&lt;&gt;1),"ID无效或重复",IF(OR(D148="",E148="",F148=""),"待补齐场景",IF(AND(J148="未体验",K148="未体验"),"未体验",IF(OR(J148="未体验",K148="未体验"),"需核对未体验",IF(COUNTA(G148:M148)&lt;&gt;7,"待补齐关键内容","已反馈"))))))</x:f>
        <x:v>待反馈</x:v>
      </x:c>
      <x:c r="Q148" s="89" t="n">
        <x:f>IF(AND(P148="已反馈",O148&lt;&gt;""),1,0)</x:f>
        <x:v>0</x:v>
      </x:c>
      <x:c r="R148" s="91"/>
      <x:c r="S148" s="91"/>
      <x:c r="T148" s="89" t="n">
        <x:f>IF(AND(P148="已反馈",Q148=1,R148="已核对",S148&lt;&gt;""),1,0)</x:f>
        <x:v>0</x:v>
      </x:c>
    </x:row>
    <x:row r="149" ht="76" customHeight="1">
      <x:c r="A149" s="88" t="str">
        <x:v>FB143</x:v>
      </x:c>
      <x:c r="B149" s="86"/>
      <x:c r="C149" s="88" t="str">
        <x:f>IF(COUNTIFS('运行记录'!$A$7:$A$150,B149)=1,INDEX('运行记录'!$E$7:$E$150,MATCH(B149,'运行记录'!$A$7:$A$150,0)),"")</x:f>
      </x:c>
      <x:c r="D149" s="89" t="str">
        <x:f>IF(C149="","",IF(INDEX('特性清单'!$B$7:$B$18,MATCH(INDEX('运行记录'!$C$7:$C$150,MATCH(B149,'运行记录'!$A$7:$A$150,0)),'特性清单'!$A$7:$A$18,0))="","",INDEX('特性清单'!$B$7:$B$18,MATCH(INDEX('运行记录'!$C$7:$C$150,MATCH(B149,'运行记录'!$A$7:$A$150,0)),'特性清单'!$A$7:$A$18,0))))</x:f>
      </x:c>
      <x:c r="E149" s="91"/>
      <x:c r="F149" s="91"/>
      <x:c r="G149" s="91"/>
      <x:c r="H149" s="91"/>
      <x:c r="I149" s="91"/>
      <x:c r="J149" s="91"/>
      <x:c r="K149" s="91"/>
      <x:c r="L149" s="91"/>
      <x:c r="M149" s="91"/>
      <x:c r="N149" s="91"/>
      <x:c r="O149" s="91"/>
      <x:c r="P149" s="89" t="str">
        <x:f>IF(COUNTA(B149)+COUNTA(E149:O149)+COUNTA(R149:S149)=0,"待反馈",IF(OR(COUNTIFS('运行记录'!$A$7:$A$150,B149)&lt;&gt;1,COUNTIFS($A$7:$A$150,A149)&lt;&gt;1),"ID无效或重复",IF(OR(D149="",E149="",F149=""),"待补齐场景",IF(AND(J149="未体验",K149="未体验"),"未体验",IF(OR(J149="未体验",K149="未体验"),"需核对未体验",IF(COUNTA(G149:M149)&lt;&gt;7,"待补齐关键内容","已反馈"))))))</x:f>
        <x:v>待反馈</x:v>
      </x:c>
      <x:c r="Q149" s="89" t="n">
        <x:f>IF(AND(P149="已反馈",O149&lt;&gt;""),1,0)</x:f>
        <x:v>0</x:v>
      </x:c>
      <x:c r="R149" s="91"/>
      <x:c r="S149" s="91"/>
      <x:c r="T149" s="89" t="n">
        <x:f>IF(AND(P149="已反馈",Q149=1,R149="已核对",S149&lt;&gt;""),1,0)</x:f>
        <x:v>0</x:v>
      </x:c>
    </x:row>
    <x:row r="150" ht="76" customHeight="1">
      <x:c r="A150" s="88" t="str">
        <x:v>FB144</x:v>
      </x:c>
      <x:c r="B150" s="87"/>
      <x:c r="C150" s="88" t="str">
        <x:f>IF(COUNTIFS('运行记录'!$A$7:$A$150,B150)=1,INDEX('运行记录'!$E$7:$E$150,MATCH(B150,'运行记录'!$A$7:$A$150,0)),"")</x:f>
      </x:c>
      <x:c r="D150" s="89" t="str">
        <x:f>IF(C150="","",IF(INDEX('特性清单'!$B$7:$B$18,MATCH(INDEX('运行记录'!$C$7:$C$150,MATCH(B150,'运行记录'!$A$7:$A$150,0)),'特性清单'!$A$7:$A$18,0))="","",INDEX('特性清单'!$B$7:$B$18,MATCH(INDEX('运行记录'!$C$7:$C$150,MATCH(B150,'运行记录'!$A$7:$A$150,0)),'特性清单'!$A$7:$A$18,0))))</x:f>
      </x:c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89" t="str">
        <x:f>IF(COUNTA(B150)+COUNTA(E150:O150)+COUNTA(R150:S150)=0,"待反馈",IF(OR(COUNTIFS('运行记录'!$A$7:$A$150,B150)&lt;&gt;1,COUNTIFS($A$7:$A$150,A150)&lt;&gt;1),"ID无效或重复",IF(OR(D150="",E150="",F150=""),"待补齐场景",IF(AND(J150="未体验",K150="未体验"),"未体验",IF(OR(J150="未体验",K150="未体验"),"需核对未体验",IF(COUNTA(G150:M150)&lt;&gt;7,"待补齐关键内容","已反馈"))))))</x:f>
        <x:v>待反馈</x:v>
      </x:c>
      <x:c r="Q150" s="89" t="n">
        <x:f>IF(AND(P150="已反馈",O150&lt;&gt;""),1,0)</x:f>
        <x:v>0</x:v>
      </x:c>
      <x:c r="R150" s="92"/>
      <x:c r="S150" s="92"/>
      <x:c r="T150" s="89" t="n">
        <x:f>IF(AND(P150="已反馈",Q150=1,R150="已核对",S150&lt;&gt;""),1,0)</x:f>
        <x:v>0</x:v>
      </x:c>
    </x:row>
  </x:sheetData>
  <x:conditionalFormatting sqref="P7:P150">
    <x:cfRule type="expression" dxfId="10" priority="1">
      <x:formula>AND($P7&lt;&gt;"待反馈",$P7&lt;&gt;"已反馈",$P7&lt;&gt;"未体验")</x:formula>
    </x:cfRule>
  </x:conditionalFormatting>
  <x:conditionalFormatting sqref="K7:K150">
    <x:cfRule type="expression" dxfId="11" priority="2">
      <x:formula>$K7="明显更差"</x:formula>
    </x:cfRule>
  </x:conditionalFormatting>
  <x:dataValidations count="6">
    <x:dataValidation type="list" sqref="B7:B150">
      <x:formula1>INDIRECT("'运行记录'!$A$7:$A$150")</x:formula1>
    </x:dataValidation>
    <x:dataValidation type="list" sqref="F7:F150">
      <x:formula1>"需求澄清与任务拆解,代码库检索与定位,跨文件修改,测试生成与执行,报错定位与自修复,终端与工具调用,变更审查与解释,上下文与会话续接,权限确认与人工接管,项目规则与流程集成,其他（具体说明）"</x:formula1>
    </x:dataValidation>
    <x:dataValidation type="list" sqref="J7:J150">
      <x:formula1>"高价值,有帮助,无明显价值,负价值,未体验"</x:formula1>
    </x:dataValidation>
    <x:dataValidation type="list" sqref="K7:K150">
      <x:formula1>"明显更好,略有改善,无明显区别,明显更差,未体验"</x:formula1>
    </x:dataValidation>
    <x:dataValidation type="list" sqref="M7:M150">
      <x:formula1>"愿意常用,有条件使用,不愿再用,待判断"</x:formula1>
    </x:dataValidation>
    <x:dataValidation type="list" sqref="R7:R150">
      <x:formula1>"待复核,已核对,有疑问"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d7095e0a544db3"/>
  </x:tableParts>
</x:worksheet>
</file>